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6182\Desktop\"/>
    </mc:Choice>
  </mc:AlternateContent>
  <xr:revisionPtr revIDLastSave="0" documentId="13_ncr:1_{E8B58271-19BB-4689-A0F2-81FC61D35D37}" xr6:coauthVersionLast="46" xr6:coauthVersionMax="46" xr10:uidLastSave="{00000000-0000-0000-0000-000000000000}"/>
  <bookViews>
    <workbookView xWindow="-120" yWindow="-120" windowWidth="29040" windowHeight="15840" xr2:uid="{C34F019B-15BD-4F1E-9A81-9EAEBEDB35EA}"/>
  </bookViews>
  <sheets>
    <sheet name="Sheet1" sheetId="1" r:id="rId1"/>
    <sheet name="Sheet2" sheetId="2" r:id="rId2"/>
    <sheet name="Sheet3" sheetId="3" r:id="rId3"/>
    <sheet name="Sheet4" sheetId="4" r:id="rId4"/>
  </sheets>
  <definedNames>
    <definedName name="_xlchart.v1.0" hidden="1">Sheet2!$A$2:$A$67</definedName>
    <definedName name="_xlchart.v1.1" hidden="1">Sheet2!$C$1</definedName>
    <definedName name="_xlchart.v1.2" hidden="1">Sheet2!$C$2:$C$67</definedName>
    <definedName name="_xlcn.WorksheetConnection_Sheet2A1U661" hidden="1">Sheet2!$A$1:$U$66</definedName>
  </definedNames>
  <calcPr calcId="191029"/>
  <pivotCaches>
    <pivotCache cacheId="102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区域" name="区域" connection="WorksheetConnection_Sheet2!$A$1:$U$66"/>
        </x15:modelTables>
        <x15:extLst>
          <ext xmlns:x16="http://schemas.microsoft.com/office/spreadsheetml/2014/11/main" uri="{9835A34E-60A6-4A7C-AAB8-D5F71C897F49}">
            <x16:modelTimeGroupings>
              <x16:modelTimeGrouping tableName="区域" columnName="游戏时间" columnId="游戏时间">
                <x16:calculatedTimeColumn columnName="游戏时间 (月索引)" columnId="游戏时间 (月索引)" contentType="monthsindex" isSelected="1"/>
                <x16:calculatedTimeColumn columnName="游戏时间 (月)" columnId="游戏时间 (月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E25" i="3" l="1"/>
  <c r="C25" i="3"/>
  <c r="A25" i="3"/>
  <c r="B25" i="3"/>
  <c r="B2" i="3"/>
  <c r="C2" i="3"/>
  <c r="D2" i="3"/>
  <c r="E2" i="3"/>
  <c r="F2" i="3"/>
  <c r="B3" i="3"/>
  <c r="C3" i="3"/>
  <c r="D3" i="3"/>
  <c r="E3" i="3"/>
  <c r="F3" i="3"/>
  <c r="M66" i="2"/>
  <c r="L66" i="2"/>
  <c r="M65" i="2"/>
  <c r="L65" i="2"/>
  <c r="M64" i="2"/>
  <c r="L64" i="2"/>
  <c r="M63" i="2"/>
  <c r="L63" i="2"/>
  <c r="M62" i="2"/>
  <c r="L62" i="2"/>
  <c r="O62" i="2" s="1"/>
  <c r="O61" i="2"/>
  <c r="N61" i="2"/>
  <c r="M61" i="2"/>
  <c r="L61" i="2"/>
  <c r="M60" i="2"/>
  <c r="L60" i="2"/>
  <c r="O60" i="2" s="1"/>
  <c r="M59" i="2"/>
  <c r="L59" i="2"/>
  <c r="M58" i="2"/>
  <c r="L58" i="2"/>
  <c r="M57" i="2"/>
  <c r="L57" i="2"/>
  <c r="O57" i="2" s="1"/>
  <c r="M56" i="2"/>
  <c r="O56" i="2" s="1"/>
  <c r="L56" i="2"/>
  <c r="M55" i="2"/>
  <c r="L55" i="2"/>
  <c r="M54" i="2"/>
  <c r="L54" i="2"/>
  <c r="M53" i="2"/>
  <c r="L53" i="2"/>
  <c r="M52" i="2"/>
  <c r="L52" i="2"/>
  <c r="N51" i="2"/>
  <c r="M51" i="2"/>
  <c r="L51" i="2"/>
  <c r="O51" i="2" s="1"/>
  <c r="M50" i="2"/>
  <c r="L50" i="2"/>
  <c r="O50" i="2" s="1"/>
  <c r="M49" i="2"/>
  <c r="L49" i="2"/>
  <c r="M48" i="2"/>
  <c r="L48" i="2"/>
  <c r="M47" i="2"/>
  <c r="L47" i="2"/>
  <c r="M46" i="2"/>
  <c r="L46" i="2"/>
  <c r="O46" i="2" s="1"/>
  <c r="M45" i="2"/>
  <c r="L45" i="2"/>
  <c r="O45" i="2" s="1"/>
  <c r="M44" i="2"/>
  <c r="L44" i="2"/>
  <c r="M43" i="2"/>
  <c r="L43" i="2"/>
  <c r="O43" i="2" s="1"/>
  <c r="M42" i="2"/>
  <c r="O42" i="2" s="1"/>
  <c r="L42" i="2"/>
  <c r="N41" i="2"/>
  <c r="M41" i="2"/>
  <c r="L41" i="2"/>
  <c r="O41" i="2" s="1"/>
  <c r="M40" i="2"/>
  <c r="L40" i="2"/>
  <c r="O40" i="2" s="1"/>
  <c r="M39" i="2"/>
  <c r="L39" i="2"/>
  <c r="O39" i="2" s="1"/>
  <c r="M38" i="2"/>
  <c r="L38" i="2"/>
  <c r="O38" i="2" s="1"/>
  <c r="M37" i="2"/>
  <c r="L37" i="2"/>
  <c r="M36" i="2"/>
  <c r="L36" i="2"/>
  <c r="M35" i="2"/>
  <c r="L35" i="2"/>
  <c r="O35" i="2" s="1"/>
  <c r="M34" i="2"/>
  <c r="O34" i="2" s="1"/>
  <c r="L34" i="2"/>
  <c r="M33" i="2"/>
  <c r="L33" i="2"/>
  <c r="M32" i="2"/>
  <c r="L32" i="2"/>
  <c r="O31" i="2"/>
  <c r="N31" i="2"/>
  <c r="M31" i="2"/>
  <c r="L31" i="2"/>
  <c r="M30" i="2"/>
  <c r="L30" i="2"/>
  <c r="M29" i="2"/>
  <c r="L29" i="2"/>
  <c r="M28" i="2"/>
  <c r="L28" i="2"/>
  <c r="O28" i="2" s="1"/>
  <c r="M27" i="2"/>
  <c r="L27" i="2"/>
  <c r="M26" i="2"/>
  <c r="L26" i="2"/>
  <c r="M25" i="2"/>
  <c r="O25" i="2" s="1"/>
  <c r="L25" i="2"/>
  <c r="M24" i="2"/>
  <c r="L24" i="2"/>
  <c r="O24" i="2" s="1"/>
  <c r="M23" i="2"/>
  <c r="L23" i="2"/>
  <c r="M22" i="2"/>
  <c r="L22" i="2"/>
  <c r="N21" i="2"/>
  <c r="M21" i="2"/>
  <c r="O21" i="2" s="1"/>
  <c r="L21" i="2"/>
  <c r="M20" i="2"/>
  <c r="L20" i="2"/>
  <c r="N19" i="2"/>
  <c r="M19" i="2"/>
  <c r="L19" i="2"/>
  <c r="O19" i="2" s="1"/>
  <c r="N18" i="2"/>
  <c r="M18" i="2"/>
  <c r="L18" i="2"/>
  <c r="O18" i="2" s="1"/>
  <c r="O17" i="2"/>
  <c r="N17" i="2"/>
  <c r="M17" i="2"/>
  <c r="L17" i="2"/>
  <c r="N16" i="2"/>
  <c r="M16" i="2"/>
  <c r="L16" i="2"/>
  <c r="O16" i="2" s="1"/>
  <c r="N15" i="2"/>
  <c r="M15" i="2"/>
  <c r="L15" i="2"/>
  <c r="O15" i="2" s="1"/>
  <c r="O14" i="2"/>
  <c r="N14" i="2"/>
  <c r="M14" i="2"/>
  <c r="L14" i="2"/>
  <c r="N13" i="2"/>
  <c r="M13" i="2"/>
  <c r="L13" i="2"/>
  <c r="O13" i="2" s="1"/>
  <c r="N12" i="2"/>
  <c r="M12" i="2"/>
  <c r="L12" i="2"/>
  <c r="O12" i="2" s="1"/>
  <c r="O11" i="2"/>
  <c r="N11" i="2"/>
  <c r="M11" i="2"/>
  <c r="L11" i="2"/>
  <c r="N10" i="2"/>
  <c r="M10" i="2"/>
  <c r="L10" i="2"/>
  <c r="O10" i="2" s="1"/>
  <c r="M9" i="2"/>
  <c r="L9" i="2"/>
  <c r="M8" i="2"/>
  <c r="L8" i="2"/>
  <c r="O8" i="2" s="1"/>
  <c r="M7" i="2"/>
  <c r="L7" i="2"/>
  <c r="M6" i="2"/>
  <c r="L6" i="2"/>
  <c r="M5" i="2"/>
  <c r="L5" i="2"/>
  <c r="O5" i="2" s="1"/>
  <c r="M4" i="2"/>
  <c r="L4" i="2"/>
  <c r="O4" i="2" s="1"/>
  <c r="M3" i="2"/>
  <c r="L3" i="2"/>
  <c r="O3" i="2" s="1"/>
  <c r="O30" i="2"/>
  <c r="O29" i="2"/>
  <c r="O26" i="2"/>
  <c r="O9" i="2"/>
  <c r="O7" i="2"/>
  <c r="O20" i="2"/>
  <c r="O22" i="2"/>
  <c r="O23" i="2"/>
  <c r="O27" i="2"/>
  <c r="O32" i="2"/>
  <c r="O33" i="2"/>
  <c r="O36" i="2"/>
  <c r="O44" i="2"/>
  <c r="O47" i="2"/>
  <c r="O48" i="2"/>
  <c r="O49" i="2"/>
  <c r="O52" i="2"/>
  <c r="O53" i="2"/>
  <c r="O54" i="2"/>
  <c r="O55" i="2"/>
  <c r="O58" i="2"/>
  <c r="O63" i="2"/>
  <c r="O64" i="2"/>
  <c r="O65" i="2"/>
  <c r="O66" i="2"/>
  <c r="N4" i="2"/>
  <c r="N5" i="2"/>
  <c r="N6" i="2"/>
  <c r="O6" i="2" s="1"/>
  <c r="N7" i="2"/>
  <c r="N8" i="2"/>
  <c r="N9" i="2"/>
  <c r="N20" i="2"/>
  <c r="N22" i="2"/>
  <c r="N23" i="2"/>
  <c r="N24" i="2"/>
  <c r="N25" i="2"/>
  <c r="N26" i="2"/>
  <c r="N27" i="2"/>
  <c r="N28" i="2"/>
  <c r="N29" i="2"/>
  <c r="N30" i="2"/>
  <c r="N32" i="2"/>
  <c r="N33" i="2"/>
  <c r="N34" i="2"/>
  <c r="N35" i="2"/>
  <c r="N36" i="2"/>
  <c r="N37" i="2"/>
  <c r="O37" i="2" s="1"/>
  <c r="N38" i="2"/>
  <c r="N39" i="2"/>
  <c r="N40" i="2"/>
  <c r="N42" i="2"/>
  <c r="N43" i="2"/>
  <c r="N44" i="2"/>
  <c r="N45" i="2"/>
  <c r="N46" i="2"/>
  <c r="N47" i="2"/>
  <c r="N48" i="2"/>
  <c r="N49" i="2"/>
  <c r="N50" i="2"/>
  <c r="N52" i="2"/>
  <c r="N53" i="2"/>
  <c r="N54" i="2"/>
  <c r="N55" i="2"/>
  <c r="N56" i="2"/>
  <c r="N57" i="2"/>
  <c r="N58" i="2"/>
  <c r="N59" i="2"/>
  <c r="O59" i="2" s="1"/>
  <c r="N60" i="2"/>
  <c r="N62" i="2"/>
  <c r="N63" i="2"/>
  <c r="N64" i="2"/>
  <c r="N65" i="2"/>
  <c r="N66" i="2"/>
  <c r="N3" i="2"/>
  <c r="D25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1A0C69-28E9-40BA-840F-225265069148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32EBEF82-072B-40C0-8063-8309206B5F9B}" name="WorksheetConnection_Sheet2!$A$1:$U$66" type="102" refreshedVersion="6" minRefreshableVersion="5">
    <extLst>
      <ext xmlns:x15="http://schemas.microsoft.com/office/spreadsheetml/2010/11/main" uri="{DE250136-89BD-433C-8126-D09CA5730AF9}">
        <x15:connection id="区域" autoDelete="1">
          <x15:rangePr sourceName="_xlcn.WorksheetConnection_Sheet2A1U661"/>
        </x15:connection>
      </ext>
    </extLst>
  </connection>
</connections>
</file>

<file path=xl/sharedStrings.xml><?xml version="1.0" encoding="utf-8"?>
<sst xmlns="http://schemas.openxmlformats.org/spreadsheetml/2006/main" count="721" uniqueCount="154">
  <si>
    <t xml:space="preserve"> *</t>
  </si>
  <si>
    <t xml:space="preserve"> *</t>
    <phoneticPr fontId="1" type="noConversion"/>
  </si>
  <si>
    <t>品德</t>
    <phoneticPr fontId="1" type="noConversion"/>
  </si>
  <si>
    <t>智力</t>
    <phoneticPr fontId="1" type="noConversion"/>
  </si>
  <si>
    <t>体力</t>
    <phoneticPr fontId="1" type="noConversion"/>
  </si>
  <si>
    <t>审美</t>
    <phoneticPr fontId="1" type="noConversion"/>
  </si>
  <si>
    <t>劳动能力</t>
    <phoneticPr fontId="1" type="noConversion"/>
  </si>
  <si>
    <t>剩余行动点数：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</si>
  <si>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</si>
  <si>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</si>
  <si>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</si>
  <si>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</si>
  <si>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游戏时间</t>
    <phoneticPr fontId="1" type="noConversion"/>
  </si>
  <si>
    <t>游戏整体得分</t>
    <phoneticPr fontId="1" type="noConversion"/>
  </si>
  <si>
    <t>结束时玩家品德</t>
    <phoneticPr fontId="1" type="noConversion"/>
  </si>
  <si>
    <t>结束时玩家智力</t>
    <phoneticPr fontId="1" type="noConversion"/>
  </si>
  <si>
    <t>结束时玩家体力</t>
    <phoneticPr fontId="1" type="noConversion"/>
  </si>
  <si>
    <t>结束时玩家审美</t>
    <phoneticPr fontId="1" type="noConversion"/>
  </si>
  <si>
    <t>结束时玩家劳动能力</t>
    <phoneticPr fontId="1" type="noConversion"/>
  </si>
  <si>
    <t>移动点数充值次数</t>
    <phoneticPr fontId="1" type="noConversion"/>
  </si>
  <si>
    <t>移动点数充值收入</t>
    <phoneticPr fontId="1" type="noConversion"/>
  </si>
  <si>
    <t>玩家姓名</t>
    <phoneticPr fontId="1" type="noConversion"/>
  </si>
  <si>
    <t>信息栏（这里会显示玩家的能力数值，已经搜索到的物品、称号等内容）</t>
    <phoneticPr fontId="1" type="noConversion"/>
  </si>
  <si>
    <t xml:space="preserve"> *</t>
    <phoneticPr fontId="1" type="noConversion"/>
  </si>
  <si>
    <t>游戏商城</t>
    <phoneticPr fontId="1" type="noConversion"/>
  </si>
  <si>
    <t xml:space="preserve"> ₿</t>
    <phoneticPr fontId="1" type="noConversion"/>
  </si>
  <si>
    <t xml:space="preserve"> *</t>
    <phoneticPr fontId="1" type="noConversion"/>
  </si>
  <si>
    <t>售价</t>
    <phoneticPr fontId="1" type="noConversion"/>
  </si>
  <si>
    <t>12元</t>
    <phoneticPr fontId="1" type="noConversion"/>
  </si>
  <si>
    <t>使用次数</t>
    <phoneticPr fontId="1" type="noConversion"/>
  </si>
  <si>
    <t>品德&amp;智力药水（效果：+5品德 +5智力）</t>
    <phoneticPr fontId="1" type="noConversion"/>
  </si>
  <si>
    <t>体力&amp;审美&amp;劳动能力药水（效果：+3体力 +3审美 +3劳动能力）</t>
    <phoneticPr fontId="1" type="noConversion"/>
  </si>
  <si>
    <t>行动点数药水（效果：+5移动点数）</t>
    <phoneticPr fontId="1" type="noConversion"/>
  </si>
  <si>
    <t>游戏信息修改器（赋予玩家直接修改游戏数值的能力）</t>
    <phoneticPr fontId="1" type="noConversion"/>
  </si>
  <si>
    <t>168元</t>
    <phoneticPr fontId="1" type="noConversion"/>
  </si>
  <si>
    <t>获得隐藏神器</t>
    <phoneticPr fontId="1" type="noConversion"/>
  </si>
  <si>
    <t>(该部分仅服务于项目演示目的，不会真正产生消费；使用该区域功能将不会获得成就）</t>
    <phoneticPr fontId="1" type="noConversion"/>
  </si>
  <si>
    <t>I</t>
    <phoneticPr fontId="1" type="noConversion"/>
  </si>
  <si>
    <t xml:space="preserve"> *</t>
    <phoneticPr fontId="1" type="noConversion"/>
  </si>
  <si>
    <t>品德智力药水使用次数</t>
    <phoneticPr fontId="1" type="noConversion"/>
  </si>
  <si>
    <t>体力审美药水使用次数</t>
    <phoneticPr fontId="1" type="noConversion"/>
  </si>
  <si>
    <r>
      <t xml:space="preserve">游戏说明：这是一款以上海大学嘉定校区缩略图为地图的俯视角探索类游戏。游戏中，“*”代表玩家可以自由行动的道路；黑色填充的色块代表玩家；大写英文字母代表可以探索的单元格（地点），只需要操纵色块移动到单元格上即可触发；黑色圆圈圈起来的单元格（H5和J12分别)代表体育考点和文化课考点。玩家移动将消耗行动点数，通过地图探索可以增加&amp;减少能力数值。点击重置游戏可以随时重玩&amp;结束当前游戏（辍学&amp;毕业），并获得成绩（最终平均绩点）。最终成绩和游戏结束时的玩家能力数值，搜索到的物品、称号相关，与剩余行动点数，道具使用次数无关) </t>
    </r>
    <r>
      <rPr>
        <b/>
        <u val="double"/>
        <sz val="24"/>
        <color rgb="FFFF0000"/>
        <rFont val="等线"/>
        <family val="3"/>
        <charset val="134"/>
        <scheme val="minor"/>
      </rPr>
      <t>特别注意：请不要在游戏过程中随意改变选中的单元格；请将右下角屏幕缩放调至40%左右</t>
    </r>
    <r>
      <rPr>
        <b/>
        <sz val="24"/>
        <color rgb="FFFF0000"/>
        <rFont val="等线"/>
        <family val="3"/>
        <charset val="134"/>
        <scheme val="minor"/>
      </rPr>
      <t>。</t>
    </r>
    <phoneticPr fontId="1" type="noConversion"/>
  </si>
  <si>
    <t>dataunavailable</t>
  </si>
  <si>
    <t>15元</t>
    <phoneticPr fontId="1" type="noConversion"/>
  </si>
  <si>
    <t>20元</t>
    <phoneticPr fontId="1" type="noConversion"/>
  </si>
  <si>
    <t>碧成仁</t>
  </si>
  <si>
    <t>敛映波</t>
  </si>
  <si>
    <t>赵又儿</t>
  </si>
  <si>
    <t>萧永元</t>
  </si>
  <si>
    <t>子车康伯</t>
  </si>
  <si>
    <t>务鸿才</t>
  </si>
  <si>
    <t>伟甘雨</t>
  </si>
  <si>
    <t>檀天逸</t>
  </si>
  <si>
    <t>季晶瑶</t>
  </si>
  <si>
    <t>支胤雅</t>
  </si>
  <si>
    <t>戈代芙</t>
  </si>
  <si>
    <t>米经略</t>
  </si>
  <si>
    <t>纳小萍</t>
  </si>
  <si>
    <t>悟依波</t>
  </si>
  <si>
    <t>书胤运</t>
  </si>
  <si>
    <t>求千雁</t>
  </si>
  <si>
    <t>微生云露</t>
  </si>
  <si>
    <t>嬴陶宜</t>
  </si>
  <si>
    <t>冼飞光</t>
  </si>
  <si>
    <t>莫骞仕</t>
  </si>
  <si>
    <t>睢俊逸</t>
  </si>
  <si>
    <t>尧季</t>
  </si>
  <si>
    <t>阳傲南</t>
  </si>
  <si>
    <t>东方泽惠</t>
  </si>
  <si>
    <t>郸运</t>
  </si>
  <si>
    <t>伏丽姿</t>
  </si>
  <si>
    <t>南门千秋</t>
  </si>
  <si>
    <t>兴雅洁</t>
  </si>
  <si>
    <t>粟尔琴</t>
  </si>
  <si>
    <t>呼延忆安</t>
  </si>
  <si>
    <t>五家骏</t>
  </si>
  <si>
    <t>墨雨星</t>
  </si>
  <si>
    <t>蔚香巧</t>
  </si>
  <si>
    <t>阚瑜璟</t>
  </si>
  <si>
    <t>徭修杰</t>
  </si>
  <si>
    <t>卓英武</t>
  </si>
  <si>
    <t>夏侯恨竹</t>
  </si>
  <si>
    <t>邬英媛</t>
  </si>
  <si>
    <t>欧阳小蕊</t>
  </si>
  <si>
    <t>郯映真</t>
  </si>
  <si>
    <t>归浩初</t>
  </si>
  <si>
    <t>左丘白凝</t>
  </si>
  <si>
    <t>宜乐音</t>
  </si>
  <si>
    <t>汗香柳</t>
  </si>
  <si>
    <t>绳高洁</t>
  </si>
  <si>
    <t>鲜于童童</t>
  </si>
  <si>
    <t>开飞鹏</t>
  </si>
  <si>
    <t>宗政采梦</t>
  </si>
  <si>
    <t>牢曼冬</t>
  </si>
  <si>
    <t>祝白梅</t>
  </si>
  <si>
    <t>马映天</t>
  </si>
  <si>
    <t>居香莲</t>
  </si>
  <si>
    <t>段秀隽</t>
  </si>
  <si>
    <t>祭雁菱</t>
  </si>
  <si>
    <t>曾秀媚</t>
  </si>
  <si>
    <t>承映雁</t>
  </si>
  <si>
    <t>老夜云</t>
  </si>
  <si>
    <t>邛天翰</t>
  </si>
  <si>
    <t>司马范明</t>
  </si>
  <si>
    <t>拱寒香</t>
  </si>
  <si>
    <t>王晓凡</t>
  </si>
  <si>
    <t>闽清馨</t>
  </si>
  <si>
    <t>伯蕴</t>
  </si>
  <si>
    <t>司琼思</t>
  </si>
  <si>
    <t>侯新</t>
    <phoneticPr fontId="1" type="noConversion"/>
  </si>
  <si>
    <t>a类药水充值收入</t>
    <phoneticPr fontId="1" type="noConversion"/>
  </si>
  <si>
    <t>b类药水充值收入</t>
    <phoneticPr fontId="1" type="noConversion"/>
  </si>
  <si>
    <t>总收入</t>
    <phoneticPr fontId="1" type="noConversion"/>
  </si>
  <si>
    <t xml:space="preserve"> *</t>
    <phoneticPr fontId="1" type="noConversion"/>
  </si>
  <si>
    <t>玩家游戏体验评价</t>
    <phoneticPr fontId="1" type="noConversion"/>
  </si>
  <si>
    <t>否</t>
  </si>
  <si>
    <t>是</t>
  </si>
  <si>
    <t>是</t>
    <phoneticPr fontId="1" type="noConversion"/>
  </si>
  <si>
    <t>是否探索了五号宿舍楼</t>
    <phoneticPr fontId="1" type="noConversion"/>
  </si>
  <si>
    <t>是否探索了一食堂</t>
    <phoneticPr fontId="1" type="noConversion"/>
  </si>
  <si>
    <t>是否探索了足球场</t>
    <phoneticPr fontId="1" type="noConversion"/>
  </si>
  <si>
    <t>是否探索了文达楼</t>
    <phoneticPr fontId="1" type="noConversion"/>
  </si>
  <si>
    <t>是否探索了文德楼</t>
    <phoneticPr fontId="1" type="noConversion"/>
  </si>
  <si>
    <t>探索五号宿舍楼次数</t>
    <phoneticPr fontId="1" type="noConversion"/>
  </si>
  <si>
    <t>探索一食堂次数</t>
    <phoneticPr fontId="1" type="noConversion"/>
  </si>
  <si>
    <t>探索文达楼次数</t>
    <phoneticPr fontId="1" type="noConversion"/>
  </si>
  <si>
    <t>探索足球场次数</t>
    <phoneticPr fontId="1" type="noConversion"/>
  </si>
  <si>
    <t>探索文德楼次数</t>
    <phoneticPr fontId="1" type="noConversion"/>
  </si>
  <si>
    <t>探索过的游戏次数</t>
    <phoneticPr fontId="1" type="noConversion"/>
  </si>
  <si>
    <t>未探索过的游戏次数</t>
    <phoneticPr fontId="1" type="noConversion"/>
  </si>
  <si>
    <t>行标签</t>
  </si>
  <si>
    <t>侯新</t>
  </si>
  <si>
    <t>总计</t>
  </si>
  <si>
    <t>以下项目的总和:移动点数充值收入</t>
  </si>
  <si>
    <t>以下项目的总和:a类药水充值收入</t>
  </si>
  <si>
    <t>以下项目的总和:b类药水充值收入</t>
  </si>
  <si>
    <t>以下项目的总和:总收入</t>
  </si>
  <si>
    <t>选择营救溺水者</t>
    <phoneticPr fontId="1" type="noConversion"/>
  </si>
  <si>
    <t>w</t>
  </si>
  <si>
    <t>拯救了孙老师</t>
  </si>
  <si>
    <t>拯救了徐老师</t>
  </si>
  <si>
    <t>假装没看见</t>
  </si>
  <si>
    <t>孙老师被拯救的次数</t>
    <phoneticPr fontId="1" type="noConversion"/>
  </si>
  <si>
    <t>徐老师被拯救的次数</t>
    <phoneticPr fontId="1" type="noConversion"/>
  </si>
  <si>
    <t>假装没看见的次数</t>
    <phoneticPr fontId="1" type="noConversion"/>
  </si>
  <si>
    <t>未探索该事件</t>
    <phoneticPr fontId="1" type="noConversion"/>
  </si>
  <si>
    <t>是</t>
    <phoneticPr fontId="1" type="noConversion"/>
  </si>
  <si>
    <t>未探索该事件的次数</t>
    <phoneticPr fontId="1" type="noConversion"/>
  </si>
  <si>
    <t>探索该事件的次数</t>
    <phoneticPr fontId="1" type="noConversion"/>
  </si>
  <si>
    <t>a</t>
  </si>
  <si>
    <t>未游玩该事件</t>
  </si>
  <si>
    <t>3 月</t>
  </si>
  <si>
    <t>5 月</t>
  </si>
  <si>
    <t>4 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</si>
</sst>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48"/>
      <color theme="1"/>
      <name val="等线"/>
      <family val="3"/>
      <charset val="134"/>
      <scheme val="minor"/>
    </font>
    <font>
      <b/>
      <sz val="36"/>
      <color rgb="FFFF0000"/>
      <name val="等线"/>
      <family val="3"/>
      <charset val="134"/>
      <scheme val="minor"/>
    </font>
    <font>
      <b/>
      <sz val="36"/>
      <color rgb="FFFF0000"/>
      <name val="等线"/>
      <family val="3"/>
      <charset val="134"/>
    </font>
    <font>
      <sz val="28"/>
      <color theme="1"/>
      <name val="等线"/>
      <family val="3"/>
      <charset val="134"/>
      <scheme val="minor"/>
    </font>
    <font>
      <b/>
      <sz val="36"/>
      <color rgb="FFFF0000"/>
      <name val="Calibri"/>
      <family val="2"/>
    </font>
    <font>
      <b/>
      <sz val="36"/>
      <color rgb="FFFF0000"/>
      <name val="宋体"/>
      <family val="3"/>
      <charset val="134"/>
    </font>
    <font>
      <sz val="26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sz val="50"/>
      <color theme="1"/>
      <name val="等线"/>
      <family val="2"/>
      <charset val="134"/>
      <scheme val="minor"/>
    </font>
    <font>
      <b/>
      <sz val="36"/>
      <color rgb="FF8066E6"/>
      <name val="等线"/>
      <family val="3"/>
      <charset val="134"/>
      <scheme val="minor"/>
    </font>
    <font>
      <sz val="26"/>
      <color theme="1"/>
      <name val="等线"/>
      <family val="2"/>
      <charset val="134"/>
      <scheme val="minor"/>
    </font>
    <font>
      <b/>
      <sz val="26"/>
      <color rgb="FFFF0000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u val="double"/>
      <sz val="24"/>
      <color rgb="FFFF0000"/>
      <name val="等线"/>
      <family val="3"/>
      <charset val="134"/>
      <scheme val="minor"/>
    </font>
    <font>
      <sz val="36"/>
      <color theme="1"/>
      <name val="Calibri"/>
      <family val="2"/>
    </font>
    <font>
      <sz val="20"/>
      <color theme="1"/>
      <name val="等线"/>
      <family val="3"/>
      <charset val="134"/>
      <scheme val="minor"/>
    </font>
    <font>
      <sz val="22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28"/>
      <color rgb="FF000000"/>
      <name val="等线"/>
      <family val="3"/>
      <charset val="134"/>
    </font>
    <font>
      <b/>
      <sz val="24"/>
      <color rgb="FF000000"/>
      <name val="等线"/>
      <family val="3"/>
      <charset val="134"/>
    </font>
    <font>
      <b/>
      <sz val="20"/>
      <color rgb="FF000000"/>
      <name val="等线"/>
      <family val="3"/>
      <charset val="134"/>
    </font>
    <font>
      <sz val="22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gray0625">
        <fgColor rgb="FFFFC000"/>
        <bgColor rgb="FFFFFFCC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2" borderId="0" xfId="0" applyFill="1" applyBorder="1">
      <alignment vertical="center"/>
    </xf>
    <xf numFmtId="0" fontId="0" fillId="2" borderId="0" xfId="0" applyFill="1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>
      <alignment vertical="center"/>
    </xf>
    <xf numFmtId="0" fontId="11" fillId="0" borderId="0" xfId="0" applyFont="1">
      <alignment vertical="center"/>
    </xf>
    <xf numFmtId="0" fontId="6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16" fillId="3" borderId="11" xfId="0" applyFont="1" applyFill="1" applyBorder="1">
      <alignment vertical="center"/>
    </xf>
    <xf numFmtId="0" fontId="8" fillId="3" borderId="11" xfId="0" applyFont="1" applyFill="1" applyBorder="1" applyAlignment="1">
      <alignment horizontal="center" vertical="center"/>
    </xf>
    <xf numFmtId="1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9" fillId="3" borderId="9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9" fillId="3" borderId="10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textRotation="255" wrapText="1"/>
    </xf>
    <xf numFmtId="0" fontId="8" fillId="2" borderId="3" xfId="0" applyFont="1" applyFill="1" applyBorder="1" applyAlignment="1">
      <alignment horizontal="center" vertical="center" textRotation="255" wrapText="1"/>
    </xf>
    <xf numFmtId="0" fontId="8" fillId="2" borderId="4" xfId="0" applyFont="1" applyFill="1" applyBorder="1" applyAlignment="1">
      <alignment horizontal="center" vertical="center" textRotation="255" wrapText="1"/>
    </xf>
    <xf numFmtId="0" fontId="8" fillId="2" borderId="5" xfId="0" applyFont="1" applyFill="1" applyBorder="1" applyAlignment="1">
      <alignment horizontal="center" vertical="center" textRotation="255" wrapText="1"/>
    </xf>
    <xf numFmtId="0" fontId="8" fillId="2" borderId="6" xfId="0" applyFont="1" applyFill="1" applyBorder="1" applyAlignment="1">
      <alignment horizontal="center" vertical="center" textRotation="255" wrapText="1"/>
    </xf>
    <xf numFmtId="0" fontId="8" fillId="2" borderId="8" xfId="0" applyFont="1" applyFill="1" applyBorder="1" applyAlignment="1">
      <alignment horizontal="center" vertical="center" textRotation="255" wrapText="1"/>
    </xf>
    <xf numFmtId="0" fontId="8" fillId="2" borderId="1" xfId="0" applyFont="1" applyFill="1" applyBorder="1" applyAlignment="1">
      <alignment horizontal="center" vertical="center" textRotation="255"/>
    </xf>
    <xf numFmtId="0" fontId="8" fillId="2" borderId="3" xfId="0" applyFont="1" applyFill="1" applyBorder="1" applyAlignment="1">
      <alignment horizontal="center" vertical="center" textRotation="255"/>
    </xf>
    <xf numFmtId="0" fontId="8" fillId="2" borderId="4" xfId="0" applyFont="1" applyFill="1" applyBorder="1" applyAlignment="1">
      <alignment horizontal="center" vertical="center" textRotation="255"/>
    </xf>
    <xf numFmtId="0" fontId="8" fillId="2" borderId="5" xfId="0" applyFont="1" applyFill="1" applyBorder="1" applyAlignment="1">
      <alignment horizontal="center" vertical="center" textRotation="255"/>
    </xf>
    <xf numFmtId="0" fontId="8" fillId="2" borderId="6" xfId="0" applyFont="1" applyFill="1" applyBorder="1" applyAlignment="1">
      <alignment horizontal="center" vertical="center" textRotation="255"/>
    </xf>
    <xf numFmtId="0" fontId="8" fillId="2" borderId="8" xfId="0" applyFont="1" applyFill="1" applyBorder="1" applyAlignment="1">
      <alignment horizontal="center" vertical="center" textRotation="255"/>
    </xf>
    <xf numFmtId="0" fontId="12" fillId="2" borderId="1" xfId="0" applyFont="1" applyFill="1" applyBorder="1" applyAlignment="1">
      <alignment horizontal="center" vertical="center" textRotation="255" wrapText="1"/>
    </xf>
    <xf numFmtId="0" fontId="12" fillId="2" borderId="1" xfId="0" applyFont="1" applyFill="1" applyBorder="1" applyAlignment="1">
      <alignment horizontal="center" vertical="center" textRotation="255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2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0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center" vertical="center" wrapText="1"/>
    </xf>
    <xf numFmtId="0" fontId="20" fillId="3" borderId="8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0" fontId="17" fillId="3" borderId="0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17" fillId="3" borderId="6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 wrapText="1"/>
    </xf>
    <xf numFmtId="0" fontId="17" fillId="3" borderId="8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inden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FFCC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玩家探索兴趣分布分析图表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Sheet3!$A$2</c:f>
              <c:strCache>
                <c:ptCount val="1"/>
                <c:pt idx="0">
                  <c:v>探索过的游戏次数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D2-42E3-A65D-640C036208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7D2-42E3-A65D-640C036208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7D2-42E3-A65D-640C036208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7D2-42E3-A65D-640C036208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7D2-42E3-A65D-640C036208F5}"/>
              </c:ext>
            </c:extLst>
          </c:dPt>
          <c:cat>
            <c:strRef>
              <c:f>Sheet3!$B$1:$F$1</c:f>
              <c:strCache>
                <c:ptCount val="5"/>
                <c:pt idx="0">
                  <c:v>探索五号宿舍楼次数</c:v>
                </c:pt>
                <c:pt idx="1">
                  <c:v>探索一食堂次数</c:v>
                </c:pt>
                <c:pt idx="2">
                  <c:v>探索文达楼次数</c:v>
                </c:pt>
                <c:pt idx="3">
                  <c:v>探索足球场次数</c:v>
                </c:pt>
                <c:pt idx="4">
                  <c:v>探索文德楼次数</c:v>
                </c:pt>
              </c:strCache>
            </c:strRef>
          </c:cat>
          <c:val>
            <c:numRef>
              <c:f>Sheet3!$B$2:$F$2</c:f>
              <c:numCache>
                <c:formatCode>General</c:formatCode>
                <c:ptCount val="5"/>
                <c:pt idx="0">
                  <c:v>51</c:v>
                </c:pt>
                <c:pt idx="1">
                  <c:v>43</c:v>
                </c:pt>
                <c:pt idx="2">
                  <c:v>20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D2-42E3-A65D-640C036208F5}"/>
            </c:ext>
          </c:extLst>
        </c:ser>
        <c:ser>
          <c:idx val="1"/>
          <c:order val="1"/>
          <c:tx>
            <c:strRef>
              <c:f>Sheet3!$A$3</c:f>
              <c:strCache>
                <c:ptCount val="1"/>
                <c:pt idx="0">
                  <c:v>未探索过的游戏次数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Sheet3!$B$1:$F$1</c:f>
              <c:strCache>
                <c:ptCount val="5"/>
                <c:pt idx="0">
                  <c:v>探索五号宿舍楼次数</c:v>
                </c:pt>
                <c:pt idx="1">
                  <c:v>探索一食堂次数</c:v>
                </c:pt>
                <c:pt idx="2">
                  <c:v>探索文达楼次数</c:v>
                </c:pt>
                <c:pt idx="3">
                  <c:v>探索足球场次数</c:v>
                </c:pt>
                <c:pt idx="4">
                  <c:v>探索文德楼次数</c:v>
                </c:pt>
              </c:strCache>
            </c:strRef>
          </c:cat>
          <c:val>
            <c:numRef>
              <c:f>Sheet3!$B$3:$F$3</c:f>
              <c:numCache>
                <c:formatCode>General</c:formatCode>
                <c:ptCount val="5"/>
                <c:pt idx="0">
                  <c:v>17</c:v>
                </c:pt>
                <c:pt idx="1">
                  <c:v>25</c:v>
                </c:pt>
                <c:pt idx="2">
                  <c:v>48</c:v>
                </c:pt>
                <c:pt idx="3">
                  <c:v>41</c:v>
                </c:pt>
                <c:pt idx="4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D2-42E3-A65D-640C03620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87222264"/>
        <c:axId val="987219704"/>
      </c:barChart>
      <c:catAx>
        <c:axId val="987222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7219704"/>
        <c:crosses val="autoZero"/>
        <c:auto val="1"/>
        <c:lblAlgn val="ctr"/>
        <c:lblOffset val="100"/>
        <c:noMultiLvlLbl val="0"/>
      </c:catAx>
      <c:valAx>
        <c:axId val="98721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722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玩家在“文德楼事件”中选择倾向分析图表</a:t>
            </a:r>
            <a:endParaRPr lang="zh-CN"/>
          </a:p>
        </c:rich>
      </c:tx>
      <c:layout>
        <c:manualLayout>
          <c:xMode val="edge"/>
          <c:yMode val="edge"/>
          <c:x val="0.13861708854692048"/>
          <c:y val="4.76190624981447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F9D-4545-8D81-E90EEDCEAAE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9D-4545-8D81-E90EEDCEAA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F9D-4545-8D81-E90EEDCEAAE6}"/>
              </c:ext>
            </c:extLst>
          </c:dPt>
          <c:dLbls>
            <c:dLbl>
              <c:idx val="0"/>
              <c:layout>
                <c:manualLayout>
                  <c:x val="4.1871160197233949E-2"/>
                  <c:y val="3.76984802947484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65588063217725"/>
                      <c:h val="0.224227354151779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D-4545-8D81-E90EEDCEAAE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80226904376014"/>
                      <c:h val="0.1488303935622822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F9D-4545-8D81-E90EEDCEAAE6}"/>
                </c:ext>
              </c:extLst>
            </c:dLbl>
            <c:dLbl>
              <c:idx val="2"/>
              <c:layout>
                <c:manualLayout>
                  <c:x val="-1.8912526030318493E-2"/>
                  <c:y val="7.14285937472171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9D-4545-8D81-E90EEDCEAAE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Sheet3!$A$24:$C$24</c:f>
              <c:strCache>
                <c:ptCount val="3"/>
                <c:pt idx="0">
                  <c:v>孙老师被拯救的次数</c:v>
                </c:pt>
                <c:pt idx="1">
                  <c:v>徐老师被拯救的次数</c:v>
                </c:pt>
                <c:pt idx="2">
                  <c:v>假装没看见的次数</c:v>
                </c:pt>
              </c:strCache>
            </c:strRef>
          </c:cat>
          <c:val>
            <c:numRef>
              <c:f>Sheet3!$A$25:$C$25</c:f>
              <c:numCache>
                <c:formatCode>General</c:formatCode>
                <c:ptCount val="3"/>
                <c:pt idx="0">
                  <c:v>13</c:v>
                </c:pt>
                <c:pt idx="1">
                  <c:v>12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D-4545-8D81-E90EEDCEAAE6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玩家游戏数值成绩分布分析图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结束时玩家品德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Sheet2!$A$2:$A$67</c:f>
              <c:strCache>
                <c:ptCount val="66"/>
                <c:pt idx="0">
                  <c:v>侯新</c:v>
                </c:pt>
                <c:pt idx="1">
                  <c:v>碧成仁</c:v>
                </c:pt>
                <c:pt idx="2">
                  <c:v>敛映波</c:v>
                </c:pt>
                <c:pt idx="3">
                  <c:v>赵又儿</c:v>
                </c:pt>
                <c:pt idx="4">
                  <c:v>萧永元</c:v>
                </c:pt>
                <c:pt idx="5">
                  <c:v>子车康伯</c:v>
                </c:pt>
                <c:pt idx="6">
                  <c:v>务鸿才</c:v>
                </c:pt>
                <c:pt idx="7">
                  <c:v>伟甘雨</c:v>
                </c:pt>
                <c:pt idx="8">
                  <c:v>檀天逸</c:v>
                </c:pt>
                <c:pt idx="9">
                  <c:v>季晶瑶</c:v>
                </c:pt>
                <c:pt idx="10">
                  <c:v>支胤雅</c:v>
                </c:pt>
                <c:pt idx="11">
                  <c:v>戈代芙</c:v>
                </c:pt>
                <c:pt idx="12">
                  <c:v>米经略</c:v>
                </c:pt>
                <c:pt idx="13">
                  <c:v>纳小萍</c:v>
                </c:pt>
                <c:pt idx="14">
                  <c:v>悟依波</c:v>
                </c:pt>
                <c:pt idx="15">
                  <c:v>书胤运</c:v>
                </c:pt>
                <c:pt idx="16">
                  <c:v>求千雁</c:v>
                </c:pt>
                <c:pt idx="17">
                  <c:v>微生云露</c:v>
                </c:pt>
                <c:pt idx="18">
                  <c:v>嬴陶宜</c:v>
                </c:pt>
                <c:pt idx="19">
                  <c:v>冼飞光</c:v>
                </c:pt>
                <c:pt idx="20">
                  <c:v>莫骞仕</c:v>
                </c:pt>
                <c:pt idx="21">
                  <c:v>睢俊逸</c:v>
                </c:pt>
                <c:pt idx="22">
                  <c:v>尧季</c:v>
                </c:pt>
                <c:pt idx="23">
                  <c:v>阳傲南</c:v>
                </c:pt>
                <c:pt idx="24">
                  <c:v>东方泽惠</c:v>
                </c:pt>
                <c:pt idx="25">
                  <c:v>郸运</c:v>
                </c:pt>
                <c:pt idx="26">
                  <c:v>伏丽姿</c:v>
                </c:pt>
                <c:pt idx="27">
                  <c:v>南门千秋</c:v>
                </c:pt>
                <c:pt idx="28">
                  <c:v>兴雅洁</c:v>
                </c:pt>
                <c:pt idx="29">
                  <c:v>粟尔琴</c:v>
                </c:pt>
                <c:pt idx="30">
                  <c:v>呼延忆安</c:v>
                </c:pt>
                <c:pt idx="31">
                  <c:v>五家骏</c:v>
                </c:pt>
                <c:pt idx="32">
                  <c:v>墨雨星</c:v>
                </c:pt>
                <c:pt idx="33">
                  <c:v>蔚香巧</c:v>
                </c:pt>
                <c:pt idx="34">
                  <c:v>阚瑜璟</c:v>
                </c:pt>
                <c:pt idx="35">
                  <c:v>徭修杰</c:v>
                </c:pt>
                <c:pt idx="36">
                  <c:v>卓英武</c:v>
                </c:pt>
                <c:pt idx="37">
                  <c:v>夏侯恨竹</c:v>
                </c:pt>
                <c:pt idx="38">
                  <c:v>邬英媛</c:v>
                </c:pt>
                <c:pt idx="39">
                  <c:v>欧阳小蕊</c:v>
                </c:pt>
                <c:pt idx="40">
                  <c:v>郯映真</c:v>
                </c:pt>
                <c:pt idx="41">
                  <c:v>归浩初</c:v>
                </c:pt>
                <c:pt idx="42">
                  <c:v>左丘白凝</c:v>
                </c:pt>
                <c:pt idx="43">
                  <c:v>宜乐音</c:v>
                </c:pt>
                <c:pt idx="44">
                  <c:v>汗香柳</c:v>
                </c:pt>
                <c:pt idx="45">
                  <c:v>绳高洁</c:v>
                </c:pt>
                <c:pt idx="46">
                  <c:v>鲜于童童</c:v>
                </c:pt>
                <c:pt idx="47">
                  <c:v>开飞鹏</c:v>
                </c:pt>
                <c:pt idx="48">
                  <c:v>宗政采梦</c:v>
                </c:pt>
                <c:pt idx="49">
                  <c:v>牢曼冬</c:v>
                </c:pt>
                <c:pt idx="50">
                  <c:v>祝白梅</c:v>
                </c:pt>
                <c:pt idx="51">
                  <c:v>马映天</c:v>
                </c:pt>
                <c:pt idx="52">
                  <c:v>居香莲</c:v>
                </c:pt>
                <c:pt idx="53">
                  <c:v>段秀隽</c:v>
                </c:pt>
                <c:pt idx="54">
                  <c:v>祭雁菱</c:v>
                </c:pt>
                <c:pt idx="55">
                  <c:v>曾秀媚</c:v>
                </c:pt>
                <c:pt idx="56">
                  <c:v>承映雁</c:v>
                </c:pt>
                <c:pt idx="57">
                  <c:v>老夜云</c:v>
                </c:pt>
                <c:pt idx="58">
                  <c:v>邛天翰</c:v>
                </c:pt>
                <c:pt idx="59">
                  <c:v>司马范明</c:v>
                </c:pt>
                <c:pt idx="60">
                  <c:v>拱寒香</c:v>
                </c:pt>
                <c:pt idx="61">
                  <c:v>王晓凡</c:v>
                </c:pt>
                <c:pt idx="62">
                  <c:v>闽清馨</c:v>
                </c:pt>
                <c:pt idx="63">
                  <c:v>伯蕴</c:v>
                </c:pt>
                <c:pt idx="64">
                  <c:v>司琼思</c:v>
                </c:pt>
                <c:pt idx="65">
                  <c:v>w</c:v>
                </c:pt>
              </c:strCache>
            </c:strRef>
          </c:cat>
          <c:val>
            <c:numRef>
              <c:f>Sheet2!$D$2:$D$67</c:f>
              <c:numCache>
                <c:formatCode>0</c:formatCode>
                <c:ptCount val="66"/>
                <c:pt idx="0" formatCode="General">
                  <c:v>10</c:v>
                </c:pt>
                <c:pt idx="1">
                  <c:v>14.42</c:v>
                </c:pt>
                <c:pt idx="2">
                  <c:v>1.79</c:v>
                </c:pt>
                <c:pt idx="3">
                  <c:v>12.17</c:v>
                </c:pt>
                <c:pt idx="4">
                  <c:v>7.64</c:v>
                </c:pt>
                <c:pt idx="5">
                  <c:v>22.43</c:v>
                </c:pt>
                <c:pt idx="6">
                  <c:v>42.17</c:v>
                </c:pt>
                <c:pt idx="7">
                  <c:v>23.01</c:v>
                </c:pt>
                <c:pt idx="8">
                  <c:v>6.89</c:v>
                </c:pt>
                <c:pt idx="9">
                  <c:v>3.75</c:v>
                </c:pt>
                <c:pt idx="10">
                  <c:v>47.42</c:v>
                </c:pt>
                <c:pt idx="11">
                  <c:v>9.06</c:v>
                </c:pt>
                <c:pt idx="12">
                  <c:v>17.899999999999999</c:v>
                </c:pt>
                <c:pt idx="13">
                  <c:v>30.81</c:v>
                </c:pt>
                <c:pt idx="14">
                  <c:v>31.45</c:v>
                </c:pt>
                <c:pt idx="15">
                  <c:v>49.17</c:v>
                </c:pt>
                <c:pt idx="16">
                  <c:v>31.11</c:v>
                </c:pt>
                <c:pt idx="17">
                  <c:v>23.17</c:v>
                </c:pt>
                <c:pt idx="18">
                  <c:v>8.6</c:v>
                </c:pt>
                <c:pt idx="19">
                  <c:v>41.53</c:v>
                </c:pt>
                <c:pt idx="20">
                  <c:v>12.62</c:v>
                </c:pt>
                <c:pt idx="21">
                  <c:v>26.64</c:v>
                </c:pt>
                <c:pt idx="22">
                  <c:v>39.06</c:v>
                </c:pt>
                <c:pt idx="23">
                  <c:v>40.549999999999997</c:v>
                </c:pt>
                <c:pt idx="24">
                  <c:v>19.440000000000001</c:v>
                </c:pt>
                <c:pt idx="25">
                  <c:v>29.5</c:v>
                </c:pt>
                <c:pt idx="26">
                  <c:v>26.09</c:v>
                </c:pt>
                <c:pt idx="27">
                  <c:v>14.88</c:v>
                </c:pt>
                <c:pt idx="28">
                  <c:v>25.34</c:v>
                </c:pt>
                <c:pt idx="29">
                  <c:v>28.96</c:v>
                </c:pt>
                <c:pt idx="30">
                  <c:v>5.14</c:v>
                </c:pt>
                <c:pt idx="31">
                  <c:v>34.700000000000003</c:v>
                </c:pt>
                <c:pt idx="32">
                  <c:v>47.79</c:v>
                </c:pt>
                <c:pt idx="33">
                  <c:v>21.77</c:v>
                </c:pt>
                <c:pt idx="34">
                  <c:v>29.66</c:v>
                </c:pt>
                <c:pt idx="35">
                  <c:v>43.34</c:v>
                </c:pt>
                <c:pt idx="36">
                  <c:v>34.479999999999997</c:v>
                </c:pt>
                <c:pt idx="37">
                  <c:v>13.01</c:v>
                </c:pt>
                <c:pt idx="38">
                  <c:v>42.91</c:v>
                </c:pt>
                <c:pt idx="39">
                  <c:v>16.55</c:v>
                </c:pt>
                <c:pt idx="40">
                  <c:v>8.6300000000000008</c:v>
                </c:pt>
                <c:pt idx="41">
                  <c:v>33.89</c:v>
                </c:pt>
                <c:pt idx="42">
                  <c:v>31.61</c:v>
                </c:pt>
                <c:pt idx="43">
                  <c:v>28.93</c:v>
                </c:pt>
                <c:pt idx="44">
                  <c:v>20.96</c:v>
                </c:pt>
                <c:pt idx="45">
                  <c:v>8.17</c:v>
                </c:pt>
                <c:pt idx="46">
                  <c:v>24.68</c:v>
                </c:pt>
                <c:pt idx="47">
                  <c:v>42.3</c:v>
                </c:pt>
                <c:pt idx="48">
                  <c:v>49.09</c:v>
                </c:pt>
                <c:pt idx="49">
                  <c:v>37.770000000000003</c:v>
                </c:pt>
                <c:pt idx="50">
                  <c:v>32.950000000000003</c:v>
                </c:pt>
                <c:pt idx="51">
                  <c:v>37.840000000000003</c:v>
                </c:pt>
                <c:pt idx="52">
                  <c:v>35.979999999999997</c:v>
                </c:pt>
                <c:pt idx="53">
                  <c:v>11.83</c:v>
                </c:pt>
                <c:pt idx="54">
                  <c:v>11.84</c:v>
                </c:pt>
                <c:pt idx="55">
                  <c:v>14.67</c:v>
                </c:pt>
                <c:pt idx="56">
                  <c:v>31.58</c:v>
                </c:pt>
                <c:pt idx="57">
                  <c:v>24.52</c:v>
                </c:pt>
                <c:pt idx="58">
                  <c:v>21.9</c:v>
                </c:pt>
                <c:pt idx="59">
                  <c:v>11.23</c:v>
                </c:pt>
                <c:pt idx="60">
                  <c:v>9.93</c:v>
                </c:pt>
                <c:pt idx="61">
                  <c:v>16.96</c:v>
                </c:pt>
                <c:pt idx="62">
                  <c:v>22.17</c:v>
                </c:pt>
                <c:pt idx="63">
                  <c:v>10.68</c:v>
                </c:pt>
                <c:pt idx="64">
                  <c:v>38.92</c:v>
                </c:pt>
                <c:pt idx="65" formatCode="General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C-454E-928C-DD1C6DE95D15}"/>
            </c:ext>
          </c:extLst>
        </c:ser>
        <c:ser>
          <c:idx val="1"/>
          <c:order val="1"/>
          <c:tx>
            <c:strRef>
              <c:f>Sheet2!$E$1</c:f>
              <c:strCache>
                <c:ptCount val="1"/>
                <c:pt idx="0">
                  <c:v>结束时玩家智力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Sheet2!$A$2:$A$67</c:f>
              <c:strCache>
                <c:ptCount val="66"/>
                <c:pt idx="0">
                  <c:v>侯新</c:v>
                </c:pt>
                <c:pt idx="1">
                  <c:v>碧成仁</c:v>
                </c:pt>
                <c:pt idx="2">
                  <c:v>敛映波</c:v>
                </c:pt>
                <c:pt idx="3">
                  <c:v>赵又儿</c:v>
                </c:pt>
                <c:pt idx="4">
                  <c:v>萧永元</c:v>
                </c:pt>
                <c:pt idx="5">
                  <c:v>子车康伯</c:v>
                </c:pt>
                <c:pt idx="6">
                  <c:v>务鸿才</c:v>
                </c:pt>
                <c:pt idx="7">
                  <c:v>伟甘雨</c:v>
                </c:pt>
                <c:pt idx="8">
                  <c:v>檀天逸</c:v>
                </c:pt>
                <c:pt idx="9">
                  <c:v>季晶瑶</c:v>
                </c:pt>
                <c:pt idx="10">
                  <c:v>支胤雅</c:v>
                </c:pt>
                <c:pt idx="11">
                  <c:v>戈代芙</c:v>
                </c:pt>
                <c:pt idx="12">
                  <c:v>米经略</c:v>
                </c:pt>
                <c:pt idx="13">
                  <c:v>纳小萍</c:v>
                </c:pt>
                <c:pt idx="14">
                  <c:v>悟依波</c:v>
                </c:pt>
                <c:pt idx="15">
                  <c:v>书胤运</c:v>
                </c:pt>
                <c:pt idx="16">
                  <c:v>求千雁</c:v>
                </c:pt>
                <c:pt idx="17">
                  <c:v>微生云露</c:v>
                </c:pt>
                <c:pt idx="18">
                  <c:v>嬴陶宜</c:v>
                </c:pt>
                <c:pt idx="19">
                  <c:v>冼飞光</c:v>
                </c:pt>
                <c:pt idx="20">
                  <c:v>莫骞仕</c:v>
                </c:pt>
                <c:pt idx="21">
                  <c:v>睢俊逸</c:v>
                </c:pt>
                <c:pt idx="22">
                  <c:v>尧季</c:v>
                </c:pt>
                <c:pt idx="23">
                  <c:v>阳傲南</c:v>
                </c:pt>
                <c:pt idx="24">
                  <c:v>东方泽惠</c:v>
                </c:pt>
                <c:pt idx="25">
                  <c:v>郸运</c:v>
                </c:pt>
                <c:pt idx="26">
                  <c:v>伏丽姿</c:v>
                </c:pt>
                <c:pt idx="27">
                  <c:v>南门千秋</c:v>
                </c:pt>
                <c:pt idx="28">
                  <c:v>兴雅洁</c:v>
                </c:pt>
                <c:pt idx="29">
                  <c:v>粟尔琴</c:v>
                </c:pt>
                <c:pt idx="30">
                  <c:v>呼延忆安</c:v>
                </c:pt>
                <c:pt idx="31">
                  <c:v>五家骏</c:v>
                </c:pt>
                <c:pt idx="32">
                  <c:v>墨雨星</c:v>
                </c:pt>
                <c:pt idx="33">
                  <c:v>蔚香巧</c:v>
                </c:pt>
                <c:pt idx="34">
                  <c:v>阚瑜璟</c:v>
                </c:pt>
                <c:pt idx="35">
                  <c:v>徭修杰</c:v>
                </c:pt>
                <c:pt idx="36">
                  <c:v>卓英武</c:v>
                </c:pt>
                <c:pt idx="37">
                  <c:v>夏侯恨竹</c:v>
                </c:pt>
                <c:pt idx="38">
                  <c:v>邬英媛</c:v>
                </c:pt>
                <c:pt idx="39">
                  <c:v>欧阳小蕊</c:v>
                </c:pt>
                <c:pt idx="40">
                  <c:v>郯映真</c:v>
                </c:pt>
                <c:pt idx="41">
                  <c:v>归浩初</c:v>
                </c:pt>
                <c:pt idx="42">
                  <c:v>左丘白凝</c:v>
                </c:pt>
                <c:pt idx="43">
                  <c:v>宜乐音</c:v>
                </c:pt>
                <c:pt idx="44">
                  <c:v>汗香柳</c:v>
                </c:pt>
                <c:pt idx="45">
                  <c:v>绳高洁</c:v>
                </c:pt>
                <c:pt idx="46">
                  <c:v>鲜于童童</c:v>
                </c:pt>
                <c:pt idx="47">
                  <c:v>开飞鹏</c:v>
                </c:pt>
                <c:pt idx="48">
                  <c:v>宗政采梦</c:v>
                </c:pt>
                <c:pt idx="49">
                  <c:v>牢曼冬</c:v>
                </c:pt>
                <c:pt idx="50">
                  <c:v>祝白梅</c:v>
                </c:pt>
                <c:pt idx="51">
                  <c:v>马映天</c:v>
                </c:pt>
                <c:pt idx="52">
                  <c:v>居香莲</c:v>
                </c:pt>
                <c:pt idx="53">
                  <c:v>段秀隽</c:v>
                </c:pt>
                <c:pt idx="54">
                  <c:v>祭雁菱</c:v>
                </c:pt>
                <c:pt idx="55">
                  <c:v>曾秀媚</c:v>
                </c:pt>
                <c:pt idx="56">
                  <c:v>承映雁</c:v>
                </c:pt>
                <c:pt idx="57">
                  <c:v>老夜云</c:v>
                </c:pt>
                <c:pt idx="58">
                  <c:v>邛天翰</c:v>
                </c:pt>
                <c:pt idx="59">
                  <c:v>司马范明</c:v>
                </c:pt>
                <c:pt idx="60">
                  <c:v>拱寒香</c:v>
                </c:pt>
                <c:pt idx="61">
                  <c:v>王晓凡</c:v>
                </c:pt>
                <c:pt idx="62">
                  <c:v>闽清馨</c:v>
                </c:pt>
                <c:pt idx="63">
                  <c:v>伯蕴</c:v>
                </c:pt>
                <c:pt idx="64">
                  <c:v>司琼思</c:v>
                </c:pt>
                <c:pt idx="65">
                  <c:v>w</c:v>
                </c:pt>
              </c:strCache>
            </c:strRef>
          </c:cat>
          <c:val>
            <c:numRef>
              <c:f>Sheet2!$E$2:$E$67</c:f>
              <c:numCache>
                <c:formatCode>0</c:formatCode>
                <c:ptCount val="66"/>
                <c:pt idx="0" formatCode="General">
                  <c:v>10</c:v>
                </c:pt>
                <c:pt idx="1">
                  <c:v>29.51</c:v>
                </c:pt>
                <c:pt idx="2">
                  <c:v>33.97</c:v>
                </c:pt>
                <c:pt idx="3">
                  <c:v>25.14</c:v>
                </c:pt>
                <c:pt idx="4">
                  <c:v>20.07</c:v>
                </c:pt>
                <c:pt idx="5">
                  <c:v>29.31</c:v>
                </c:pt>
                <c:pt idx="6">
                  <c:v>4.07</c:v>
                </c:pt>
                <c:pt idx="7">
                  <c:v>12.74</c:v>
                </c:pt>
                <c:pt idx="8">
                  <c:v>24.18</c:v>
                </c:pt>
                <c:pt idx="9">
                  <c:v>31.92</c:v>
                </c:pt>
                <c:pt idx="10">
                  <c:v>48.23</c:v>
                </c:pt>
                <c:pt idx="11">
                  <c:v>2.88</c:v>
                </c:pt>
                <c:pt idx="12">
                  <c:v>49.56</c:v>
                </c:pt>
                <c:pt idx="13">
                  <c:v>38.53</c:v>
                </c:pt>
                <c:pt idx="14">
                  <c:v>7</c:v>
                </c:pt>
                <c:pt idx="15">
                  <c:v>23.46</c:v>
                </c:pt>
                <c:pt idx="16">
                  <c:v>7.13</c:v>
                </c:pt>
                <c:pt idx="17">
                  <c:v>21.72</c:v>
                </c:pt>
                <c:pt idx="18">
                  <c:v>35.950000000000003</c:v>
                </c:pt>
                <c:pt idx="19">
                  <c:v>36.99</c:v>
                </c:pt>
                <c:pt idx="20">
                  <c:v>11.55</c:v>
                </c:pt>
                <c:pt idx="21">
                  <c:v>10.75</c:v>
                </c:pt>
                <c:pt idx="22">
                  <c:v>25.89</c:v>
                </c:pt>
                <c:pt idx="23">
                  <c:v>48.7</c:v>
                </c:pt>
                <c:pt idx="24">
                  <c:v>10.67</c:v>
                </c:pt>
                <c:pt idx="25">
                  <c:v>0.93</c:v>
                </c:pt>
                <c:pt idx="26">
                  <c:v>0.52</c:v>
                </c:pt>
                <c:pt idx="27">
                  <c:v>47.23</c:v>
                </c:pt>
                <c:pt idx="28">
                  <c:v>17</c:v>
                </c:pt>
                <c:pt idx="29">
                  <c:v>12.36</c:v>
                </c:pt>
                <c:pt idx="30">
                  <c:v>17.37</c:v>
                </c:pt>
                <c:pt idx="31">
                  <c:v>37.729999999999997</c:v>
                </c:pt>
                <c:pt idx="32">
                  <c:v>37.97</c:v>
                </c:pt>
                <c:pt idx="33">
                  <c:v>29.53</c:v>
                </c:pt>
                <c:pt idx="34">
                  <c:v>30.44</c:v>
                </c:pt>
                <c:pt idx="35">
                  <c:v>45</c:v>
                </c:pt>
                <c:pt idx="36">
                  <c:v>27.47</c:v>
                </c:pt>
                <c:pt idx="37">
                  <c:v>33.79</c:v>
                </c:pt>
                <c:pt idx="38">
                  <c:v>24.1</c:v>
                </c:pt>
                <c:pt idx="39">
                  <c:v>48.62</c:v>
                </c:pt>
                <c:pt idx="40">
                  <c:v>21.15</c:v>
                </c:pt>
                <c:pt idx="41">
                  <c:v>37.6</c:v>
                </c:pt>
                <c:pt idx="42">
                  <c:v>15.8</c:v>
                </c:pt>
                <c:pt idx="43">
                  <c:v>10.74</c:v>
                </c:pt>
                <c:pt idx="44">
                  <c:v>34.32</c:v>
                </c:pt>
                <c:pt idx="45">
                  <c:v>31.87</c:v>
                </c:pt>
                <c:pt idx="46">
                  <c:v>36.6</c:v>
                </c:pt>
                <c:pt idx="47">
                  <c:v>2.1</c:v>
                </c:pt>
                <c:pt idx="48">
                  <c:v>11.57</c:v>
                </c:pt>
                <c:pt idx="49">
                  <c:v>30.17</c:v>
                </c:pt>
                <c:pt idx="50">
                  <c:v>24.94</c:v>
                </c:pt>
                <c:pt idx="51">
                  <c:v>22.33</c:v>
                </c:pt>
                <c:pt idx="52">
                  <c:v>34.549999999999997</c:v>
                </c:pt>
                <c:pt idx="53">
                  <c:v>21.88</c:v>
                </c:pt>
                <c:pt idx="54">
                  <c:v>2.63</c:v>
                </c:pt>
                <c:pt idx="55">
                  <c:v>0.63</c:v>
                </c:pt>
                <c:pt idx="56">
                  <c:v>27.8</c:v>
                </c:pt>
                <c:pt idx="57">
                  <c:v>47.23</c:v>
                </c:pt>
                <c:pt idx="58">
                  <c:v>30.32</c:v>
                </c:pt>
                <c:pt idx="59">
                  <c:v>40.24</c:v>
                </c:pt>
                <c:pt idx="60">
                  <c:v>32.57</c:v>
                </c:pt>
                <c:pt idx="61">
                  <c:v>13.47</c:v>
                </c:pt>
                <c:pt idx="62">
                  <c:v>27.53</c:v>
                </c:pt>
                <c:pt idx="63">
                  <c:v>9.68</c:v>
                </c:pt>
                <c:pt idx="64">
                  <c:v>27.32</c:v>
                </c:pt>
                <c:pt idx="65" formatCode="General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C-454E-928C-DD1C6DE95D15}"/>
            </c:ext>
          </c:extLst>
        </c:ser>
        <c:ser>
          <c:idx val="2"/>
          <c:order val="2"/>
          <c:tx>
            <c:strRef>
              <c:f>Sheet2!$F$1</c:f>
              <c:strCache>
                <c:ptCount val="1"/>
                <c:pt idx="0">
                  <c:v>结束时玩家体力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Sheet2!$A$2:$A$67</c:f>
              <c:strCache>
                <c:ptCount val="66"/>
                <c:pt idx="0">
                  <c:v>侯新</c:v>
                </c:pt>
                <c:pt idx="1">
                  <c:v>碧成仁</c:v>
                </c:pt>
                <c:pt idx="2">
                  <c:v>敛映波</c:v>
                </c:pt>
                <c:pt idx="3">
                  <c:v>赵又儿</c:v>
                </c:pt>
                <c:pt idx="4">
                  <c:v>萧永元</c:v>
                </c:pt>
                <c:pt idx="5">
                  <c:v>子车康伯</c:v>
                </c:pt>
                <c:pt idx="6">
                  <c:v>务鸿才</c:v>
                </c:pt>
                <c:pt idx="7">
                  <c:v>伟甘雨</c:v>
                </c:pt>
                <c:pt idx="8">
                  <c:v>檀天逸</c:v>
                </c:pt>
                <c:pt idx="9">
                  <c:v>季晶瑶</c:v>
                </c:pt>
                <c:pt idx="10">
                  <c:v>支胤雅</c:v>
                </c:pt>
                <c:pt idx="11">
                  <c:v>戈代芙</c:v>
                </c:pt>
                <c:pt idx="12">
                  <c:v>米经略</c:v>
                </c:pt>
                <c:pt idx="13">
                  <c:v>纳小萍</c:v>
                </c:pt>
                <c:pt idx="14">
                  <c:v>悟依波</c:v>
                </c:pt>
                <c:pt idx="15">
                  <c:v>书胤运</c:v>
                </c:pt>
                <c:pt idx="16">
                  <c:v>求千雁</c:v>
                </c:pt>
                <c:pt idx="17">
                  <c:v>微生云露</c:v>
                </c:pt>
                <c:pt idx="18">
                  <c:v>嬴陶宜</c:v>
                </c:pt>
                <c:pt idx="19">
                  <c:v>冼飞光</c:v>
                </c:pt>
                <c:pt idx="20">
                  <c:v>莫骞仕</c:v>
                </c:pt>
                <c:pt idx="21">
                  <c:v>睢俊逸</c:v>
                </c:pt>
                <c:pt idx="22">
                  <c:v>尧季</c:v>
                </c:pt>
                <c:pt idx="23">
                  <c:v>阳傲南</c:v>
                </c:pt>
                <c:pt idx="24">
                  <c:v>东方泽惠</c:v>
                </c:pt>
                <c:pt idx="25">
                  <c:v>郸运</c:v>
                </c:pt>
                <c:pt idx="26">
                  <c:v>伏丽姿</c:v>
                </c:pt>
                <c:pt idx="27">
                  <c:v>南门千秋</c:v>
                </c:pt>
                <c:pt idx="28">
                  <c:v>兴雅洁</c:v>
                </c:pt>
                <c:pt idx="29">
                  <c:v>粟尔琴</c:v>
                </c:pt>
                <c:pt idx="30">
                  <c:v>呼延忆安</c:v>
                </c:pt>
                <c:pt idx="31">
                  <c:v>五家骏</c:v>
                </c:pt>
                <c:pt idx="32">
                  <c:v>墨雨星</c:v>
                </c:pt>
                <c:pt idx="33">
                  <c:v>蔚香巧</c:v>
                </c:pt>
                <c:pt idx="34">
                  <c:v>阚瑜璟</c:v>
                </c:pt>
                <c:pt idx="35">
                  <c:v>徭修杰</c:v>
                </c:pt>
                <c:pt idx="36">
                  <c:v>卓英武</c:v>
                </c:pt>
                <c:pt idx="37">
                  <c:v>夏侯恨竹</c:v>
                </c:pt>
                <c:pt idx="38">
                  <c:v>邬英媛</c:v>
                </c:pt>
                <c:pt idx="39">
                  <c:v>欧阳小蕊</c:v>
                </c:pt>
                <c:pt idx="40">
                  <c:v>郯映真</c:v>
                </c:pt>
                <c:pt idx="41">
                  <c:v>归浩初</c:v>
                </c:pt>
                <c:pt idx="42">
                  <c:v>左丘白凝</c:v>
                </c:pt>
                <c:pt idx="43">
                  <c:v>宜乐音</c:v>
                </c:pt>
                <c:pt idx="44">
                  <c:v>汗香柳</c:v>
                </c:pt>
                <c:pt idx="45">
                  <c:v>绳高洁</c:v>
                </c:pt>
                <c:pt idx="46">
                  <c:v>鲜于童童</c:v>
                </c:pt>
                <c:pt idx="47">
                  <c:v>开飞鹏</c:v>
                </c:pt>
                <c:pt idx="48">
                  <c:v>宗政采梦</c:v>
                </c:pt>
                <c:pt idx="49">
                  <c:v>牢曼冬</c:v>
                </c:pt>
                <c:pt idx="50">
                  <c:v>祝白梅</c:v>
                </c:pt>
                <c:pt idx="51">
                  <c:v>马映天</c:v>
                </c:pt>
                <c:pt idx="52">
                  <c:v>居香莲</c:v>
                </c:pt>
                <c:pt idx="53">
                  <c:v>段秀隽</c:v>
                </c:pt>
                <c:pt idx="54">
                  <c:v>祭雁菱</c:v>
                </c:pt>
                <c:pt idx="55">
                  <c:v>曾秀媚</c:v>
                </c:pt>
                <c:pt idx="56">
                  <c:v>承映雁</c:v>
                </c:pt>
                <c:pt idx="57">
                  <c:v>老夜云</c:v>
                </c:pt>
                <c:pt idx="58">
                  <c:v>邛天翰</c:v>
                </c:pt>
                <c:pt idx="59">
                  <c:v>司马范明</c:v>
                </c:pt>
                <c:pt idx="60">
                  <c:v>拱寒香</c:v>
                </c:pt>
                <c:pt idx="61">
                  <c:v>王晓凡</c:v>
                </c:pt>
                <c:pt idx="62">
                  <c:v>闽清馨</c:v>
                </c:pt>
                <c:pt idx="63">
                  <c:v>伯蕴</c:v>
                </c:pt>
                <c:pt idx="64">
                  <c:v>司琼思</c:v>
                </c:pt>
                <c:pt idx="65">
                  <c:v>w</c:v>
                </c:pt>
              </c:strCache>
            </c:strRef>
          </c:cat>
          <c:val>
            <c:numRef>
              <c:f>Sheet2!$F$2:$F$67</c:f>
              <c:numCache>
                <c:formatCode>0</c:formatCode>
                <c:ptCount val="66"/>
                <c:pt idx="0" formatCode="General">
                  <c:v>10</c:v>
                </c:pt>
                <c:pt idx="1">
                  <c:v>5.64</c:v>
                </c:pt>
                <c:pt idx="2">
                  <c:v>41.39</c:v>
                </c:pt>
                <c:pt idx="3">
                  <c:v>0.64</c:v>
                </c:pt>
                <c:pt idx="4">
                  <c:v>32</c:v>
                </c:pt>
                <c:pt idx="5">
                  <c:v>30.22</c:v>
                </c:pt>
                <c:pt idx="6">
                  <c:v>32.03</c:v>
                </c:pt>
                <c:pt idx="7">
                  <c:v>1.86</c:v>
                </c:pt>
                <c:pt idx="8">
                  <c:v>39.29</c:v>
                </c:pt>
                <c:pt idx="9">
                  <c:v>14.19</c:v>
                </c:pt>
                <c:pt idx="10">
                  <c:v>15.35</c:v>
                </c:pt>
                <c:pt idx="11">
                  <c:v>28.11</c:v>
                </c:pt>
                <c:pt idx="12">
                  <c:v>3.49</c:v>
                </c:pt>
                <c:pt idx="13">
                  <c:v>36.479999999999997</c:v>
                </c:pt>
                <c:pt idx="14">
                  <c:v>18.16</c:v>
                </c:pt>
                <c:pt idx="15">
                  <c:v>31.94</c:v>
                </c:pt>
                <c:pt idx="16">
                  <c:v>1.84</c:v>
                </c:pt>
                <c:pt idx="17">
                  <c:v>9.17</c:v>
                </c:pt>
                <c:pt idx="18">
                  <c:v>20.23</c:v>
                </c:pt>
                <c:pt idx="19">
                  <c:v>16.14</c:v>
                </c:pt>
                <c:pt idx="20">
                  <c:v>47.03</c:v>
                </c:pt>
                <c:pt idx="21">
                  <c:v>34.74</c:v>
                </c:pt>
                <c:pt idx="22">
                  <c:v>17.13</c:v>
                </c:pt>
                <c:pt idx="23">
                  <c:v>17.79</c:v>
                </c:pt>
                <c:pt idx="24">
                  <c:v>23.02</c:v>
                </c:pt>
                <c:pt idx="25">
                  <c:v>15.5</c:v>
                </c:pt>
                <c:pt idx="26">
                  <c:v>41.35</c:v>
                </c:pt>
                <c:pt idx="27">
                  <c:v>9.0500000000000007</c:v>
                </c:pt>
                <c:pt idx="28">
                  <c:v>28.94</c:v>
                </c:pt>
                <c:pt idx="29">
                  <c:v>41.5</c:v>
                </c:pt>
                <c:pt idx="30">
                  <c:v>4.4000000000000004</c:v>
                </c:pt>
                <c:pt idx="31">
                  <c:v>20.28</c:v>
                </c:pt>
                <c:pt idx="32">
                  <c:v>27.18</c:v>
                </c:pt>
                <c:pt idx="33">
                  <c:v>24.73</c:v>
                </c:pt>
                <c:pt idx="34">
                  <c:v>5.39</c:v>
                </c:pt>
                <c:pt idx="35">
                  <c:v>28.3</c:v>
                </c:pt>
                <c:pt idx="36">
                  <c:v>18.2</c:v>
                </c:pt>
                <c:pt idx="37">
                  <c:v>8.18</c:v>
                </c:pt>
                <c:pt idx="38">
                  <c:v>45.94</c:v>
                </c:pt>
                <c:pt idx="39">
                  <c:v>49.55</c:v>
                </c:pt>
                <c:pt idx="40">
                  <c:v>21.06</c:v>
                </c:pt>
                <c:pt idx="41">
                  <c:v>23.32</c:v>
                </c:pt>
                <c:pt idx="42">
                  <c:v>4.28</c:v>
                </c:pt>
                <c:pt idx="43">
                  <c:v>16.36</c:v>
                </c:pt>
                <c:pt idx="44">
                  <c:v>17.68</c:v>
                </c:pt>
                <c:pt idx="45">
                  <c:v>42.09</c:v>
                </c:pt>
                <c:pt idx="46">
                  <c:v>45.27</c:v>
                </c:pt>
                <c:pt idx="47">
                  <c:v>36.299999999999997</c:v>
                </c:pt>
                <c:pt idx="48">
                  <c:v>33.659999999999997</c:v>
                </c:pt>
                <c:pt idx="49">
                  <c:v>37.520000000000003</c:v>
                </c:pt>
                <c:pt idx="50">
                  <c:v>26.15</c:v>
                </c:pt>
                <c:pt idx="51">
                  <c:v>34.18</c:v>
                </c:pt>
                <c:pt idx="52">
                  <c:v>24.56</c:v>
                </c:pt>
                <c:pt idx="53">
                  <c:v>16.37</c:v>
                </c:pt>
                <c:pt idx="54">
                  <c:v>6.12</c:v>
                </c:pt>
                <c:pt idx="55">
                  <c:v>36.54</c:v>
                </c:pt>
                <c:pt idx="56">
                  <c:v>33.29</c:v>
                </c:pt>
                <c:pt idx="57">
                  <c:v>31.87</c:v>
                </c:pt>
                <c:pt idx="58">
                  <c:v>37.35</c:v>
                </c:pt>
                <c:pt idx="59">
                  <c:v>23.57</c:v>
                </c:pt>
                <c:pt idx="60">
                  <c:v>5.87</c:v>
                </c:pt>
                <c:pt idx="61">
                  <c:v>11.45</c:v>
                </c:pt>
                <c:pt idx="62">
                  <c:v>42.24</c:v>
                </c:pt>
                <c:pt idx="63">
                  <c:v>39.979999999999997</c:v>
                </c:pt>
                <c:pt idx="64">
                  <c:v>47.46</c:v>
                </c:pt>
                <c:pt idx="65" formatCode="General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DC-454E-928C-DD1C6DE95D15}"/>
            </c:ext>
          </c:extLst>
        </c:ser>
        <c:ser>
          <c:idx val="3"/>
          <c:order val="3"/>
          <c:tx>
            <c:strRef>
              <c:f>Sheet2!$G$1</c:f>
              <c:strCache>
                <c:ptCount val="1"/>
                <c:pt idx="0">
                  <c:v>结束时玩家审美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Sheet2!$A$2:$A$67</c:f>
              <c:strCache>
                <c:ptCount val="66"/>
                <c:pt idx="0">
                  <c:v>侯新</c:v>
                </c:pt>
                <c:pt idx="1">
                  <c:v>碧成仁</c:v>
                </c:pt>
                <c:pt idx="2">
                  <c:v>敛映波</c:v>
                </c:pt>
                <c:pt idx="3">
                  <c:v>赵又儿</c:v>
                </c:pt>
                <c:pt idx="4">
                  <c:v>萧永元</c:v>
                </c:pt>
                <c:pt idx="5">
                  <c:v>子车康伯</c:v>
                </c:pt>
                <c:pt idx="6">
                  <c:v>务鸿才</c:v>
                </c:pt>
                <c:pt idx="7">
                  <c:v>伟甘雨</c:v>
                </c:pt>
                <c:pt idx="8">
                  <c:v>檀天逸</c:v>
                </c:pt>
                <c:pt idx="9">
                  <c:v>季晶瑶</c:v>
                </c:pt>
                <c:pt idx="10">
                  <c:v>支胤雅</c:v>
                </c:pt>
                <c:pt idx="11">
                  <c:v>戈代芙</c:v>
                </c:pt>
                <c:pt idx="12">
                  <c:v>米经略</c:v>
                </c:pt>
                <c:pt idx="13">
                  <c:v>纳小萍</c:v>
                </c:pt>
                <c:pt idx="14">
                  <c:v>悟依波</c:v>
                </c:pt>
                <c:pt idx="15">
                  <c:v>书胤运</c:v>
                </c:pt>
                <c:pt idx="16">
                  <c:v>求千雁</c:v>
                </c:pt>
                <c:pt idx="17">
                  <c:v>微生云露</c:v>
                </c:pt>
                <c:pt idx="18">
                  <c:v>嬴陶宜</c:v>
                </c:pt>
                <c:pt idx="19">
                  <c:v>冼飞光</c:v>
                </c:pt>
                <c:pt idx="20">
                  <c:v>莫骞仕</c:v>
                </c:pt>
                <c:pt idx="21">
                  <c:v>睢俊逸</c:v>
                </c:pt>
                <c:pt idx="22">
                  <c:v>尧季</c:v>
                </c:pt>
                <c:pt idx="23">
                  <c:v>阳傲南</c:v>
                </c:pt>
                <c:pt idx="24">
                  <c:v>东方泽惠</c:v>
                </c:pt>
                <c:pt idx="25">
                  <c:v>郸运</c:v>
                </c:pt>
                <c:pt idx="26">
                  <c:v>伏丽姿</c:v>
                </c:pt>
                <c:pt idx="27">
                  <c:v>南门千秋</c:v>
                </c:pt>
                <c:pt idx="28">
                  <c:v>兴雅洁</c:v>
                </c:pt>
                <c:pt idx="29">
                  <c:v>粟尔琴</c:v>
                </c:pt>
                <c:pt idx="30">
                  <c:v>呼延忆安</c:v>
                </c:pt>
                <c:pt idx="31">
                  <c:v>五家骏</c:v>
                </c:pt>
                <c:pt idx="32">
                  <c:v>墨雨星</c:v>
                </c:pt>
                <c:pt idx="33">
                  <c:v>蔚香巧</c:v>
                </c:pt>
                <c:pt idx="34">
                  <c:v>阚瑜璟</c:v>
                </c:pt>
                <c:pt idx="35">
                  <c:v>徭修杰</c:v>
                </c:pt>
                <c:pt idx="36">
                  <c:v>卓英武</c:v>
                </c:pt>
                <c:pt idx="37">
                  <c:v>夏侯恨竹</c:v>
                </c:pt>
                <c:pt idx="38">
                  <c:v>邬英媛</c:v>
                </c:pt>
                <c:pt idx="39">
                  <c:v>欧阳小蕊</c:v>
                </c:pt>
                <c:pt idx="40">
                  <c:v>郯映真</c:v>
                </c:pt>
                <c:pt idx="41">
                  <c:v>归浩初</c:v>
                </c:pt>
                <c:pt idx="42">
                  <c:v>左丘白凝</c:v>
                </c:pt>
                <c:pt idx="43">
                  <c:v>宜乐音</c:v>
                </c:pt>
                <c:pt idx="44">
                  <c:v>汗香柳</c:v>
                </c:pt>
                <c:pt idx="45">
                  <c:v>绳高洁</c:v>
                </c:pt>
                <c:pt idx="46">
                  <c:v>鲜于童童</c:v>
                </c:pt>
                <c:pt idx="47">
                  <c:v>开飞鹏</c:v>
                </c:pt>
                <c:pt idx="48">
                  <c:v>宗政采梦</c:v>
                </c:pt>
                <c:pt idx="49">
                  <c:v>牢曼冬</c:v>
                </c:pt>
                <c:pt idx="50">
                  <c:v>祝白梅</c:v>
                </c:pt>
                <c:pt idx="51">
                  <c:v>马映天</c:v>
                </c:pt>
                <c:pt idx="52">
                  <c:v>居香莲</c:v>
                </c:pt>
                <c:pt idx="53">
                  <c:v>段秀隽</c:v>
                </c:pt>
                <c:pt idx="54">
                  <c:v>祭雁菱</c:v>
                </c:pt>
                <c:pt idx="55">
                  <c:v>曾秀媚</c:v>
                </c:pt>
                <c:pt idx="56">
                  <c:v>承映雁</c:v>
                </c:pt>
                <c:pt idx="57">
                  <c:v>老夜云</c:v>
                </c:pt>
                <c:pt idx="58">
                  <c:v>邛天翰</c:v>
                </c:pt>
                <c:pt idx="59">
                  <c:v>司马范明</c:v>
                </c:pt>
                <c:pt idx="60">
                  <c:v>拱寒香</c:v>
                </c:pt>
                <c:pt idx="61">
                  <c:v>王晓凡</c:v>
                </c:pt>
                <c:pt idx="62">
                  <c:v>闽清馨</c:v>
                </c:pt>
                <c:pt idx="63">
                  <c:v>伯蕴</c:v>
                </c:pt>
                <c:pt idx="64">
                  <c:v>司琼思</c:v>
                </c:pt>
                <c:pt idx="65">
                  <c:v>w</c:v>
                </c:pt>
              </c:strCache>
            </c:strRef>
          </c:cat>
          <c:val>
            <c:numRef>
              <c:f>Sheet2!$G$2:$G$67</c:f>
              <c:numCache>
                <c:formatCode>0</c:formatCode>
                <c:ptCount val="66"/>
                <c:pt idx="0" formatCode="General">
                  <c:v>10</c:v>
                </c:pt>
                <c:pt idx="1">
                  <c:v>14.88</c:v>
                </c:pt>
                <c:pt idx="2">
                  <c:v>11.07</c:v>
                </c:pt>
                <c:pt idx="3">
                  <c:v>31.76</c:v>
                </c:pt>
                <c:pt idx="4">
                  <c:v>21.15</c:v>
                </c:pt>
                <c:pt idx="5">
                  <c:v>12.63</c:v>
                </c:pt>
                <c:pt idx="6">
                  <c:v>26.17</c:v>
                </c:pt>
                <c:pt idx="7">
                  <c:v>27.52</c:v>
                </c:pt>
                <c:pt idx="8">
                  <c:v>40.659999999999997</c:v>
                </c:pt>
                <c:pt idx="9">
                  <c:v>27.68</c:v>
                </c:pt>
                <c:pt idx="10">
                  <c:v>21.25</c:v>
                </c:pt>
                <c:pt idx="11">
                  <c:v>23.28</c:v>
                </c:pt>
                <c:pt idx="12">
                  <c:v>43.34</c:v>
                </c:pt>
                <c:pt idx="13">
                  <c:v>38.64</c:v>
                </c:pt>
                <c:pt idx="14">
                  <c:v>10.220000000000001</c:v>
                </c:pt>
                <c:pt idx="15">
                  <c:v>48.36</c:v>
                </c:pt>
                <c:pt idx="16">
                  <c:v>32.39</c:v>
                </c:pt>
                <c:pt idx="17">
                  <c:v>29.35</c:v>
                </c:pt>
                <c:pt idx="18">
                  <c:v>15.99</c:v>
                </c:pt>
                <c:pt idx="19">
                  <c:v>29.24</c:v>
                </c:pt>
                <c:pt idx="20">
                  <c:v>14.05</c:v>
                </c:pt>
                <c:pt idx="21">
                  <c:v>27.78</c:v>
                </c:pt>
                <c:pt idx="22">
                  <c:v>10.48</c:v>
                </c:pt>
                <c:pt idx="23">
                  <c:v>1.28</c:v>
                </c:pt>
                <c:pt idx="24">
                  <c:v>7.11</c:v>
                </c:pt>
                <c:pt idx="25">
                  <c:v>15.37</c:v>
                </c:pt>
                <c:pt idx="26">
                  <c:v>46.95</c:v>
                </c:pt>
                <c:pt idx="27">
                  <c:v>30.71</c:v>
                </c:pt>
                <c:pt idx="28">
                  <c:v>8.23</c:v>
                </c:pt>
                <c:pt idx="29">
                  <c:v>48.69</c:v>
                </c:pt>
                <c:pt idx="30">
                  <c:v>17.329999999999998</c:v>
                </c:pt>
                <c:pt idx="31">
                  <c:v>5.37</c:v>
                </c:pt>
                <c:pt idx="32">
                  <c:v>14.07</c:v>
                </c:pt>
                <c:pt idx="33">
                  <c:v>16.329999999999998</c:v>
                </c:pt>
                <c:pt idx="34">
                  <c:v>28.1</c:v>
                </c:pt>
                <c:pt idx="35">
                  <c:v>9.52</c:v>
                </c:pt>
                <c:pt idx="36">
                  <c:v>18.989999999999998</c:v>
                </c:pt>
                <c:pt idx="37">
                  <c:v>43.61</c:v>
                </c:pt>
                <c:pt idx="38">
                  <c:v>37.950000000000003</c:v>
                </c:pt>
                <c:pt idx="39">
                  <c:v>44.64</c:v>
                </c:pt>
                <c:pt idx="40">
                  <c:v>16.600000000000001</c:v>
                </c:pt>
                <c:pt idx="41">
                  <c:v>1.57</c:v>
                </c:pt>
                <c:pt idx="42">
                  <c:v>37.64</c:v>
                </c:pt>
                <c:pt idx="43">
                  <c:v>10.85</c:v>
                </c:pt>
                <c:pt idx="44">
                  <c:v>38.03</c:v>
                </c:pt>
                <c:pt idx="45">
                  <c:v>12.7</c:v>
                </c:pt>
                <c:pt idx="46">
                  <c:v>34.200000000000003</c:v>
                </c:pt>
                <c:pt idx="47">
                  <c:v>20.13</c:v>
                </c:pt>
                <c:pt idx="48">
                  <c:v>24.02</c:v>
                </c:pt>
                <c:pt idx="49">
                  <c:v>3.11</c:v>
                </c:pt>
                <c:pt idx="50">
                  <c:v>22.1</c:v>
                </c:pt>
                <c:pt idx="51">
                  <c:v>18.72</c:v>
                </c:pt>
                <c:pt idx="52">
                  <c:v>25.08</c:v>
                </c:pt>
                <c:pt idx="53">
                  <c:v>18.41</c:v>
                </c:pt>
                <c:pt idx="54">
                  <c:v>46.92</c:v>
                </c:pt>
                <c:pt idx="55">
                  <c:v>35.590000000000003</c:v>
                </c:pt>
                <c:pt idx="56">
                  <c:v>3.17</c:v>
                </c:pt>
                <c:pt idx="57">
                  <c:v>33.299999999999997</c:v>
                </c:pt>
                <c:pt idx="58">
                  <c:v>46.61</c:v>
                </c:pt>
                <c:pt idx="59">
                  <c:v>10.47</c:v>
                </c:pt>
                <c:pt idx="60">
                  <c:v>7.26</c:v>
                </c:pt>
                <c:pt idx="61">
                  <c:v>27.45</c:v>
                </c:pt>
                <c:pt idx="62">
                  <c:v>39.659999999999997</c:v>
                </c:pt>
                <c:pt idx="63">
                  <c:v>2.6</c:v>
                </c:pt>
                <c:pt idx="64">
                  <c:v>26.21</c:v>
                </c:pt>
                <c:pt idx="65" formatCode="General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DC-454E-928C-DD1C6DE95D15}"/>
            </c:ext>
          </c:extLst>
        </c:ser>
        <c:ser>
          <c:idx val="4"/>
          <c:order val="4"/>
          <c:tx>
            <c:strRef>
              <c:f>Sheet2!$H$1</c:f>
              <c:strCache>
                <c:ptCount val="1"/>
                <c:pt idx="0">
                  <c:v>结束时玩家劳动能力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Sheet2!$A$2:$A$67</c:f>
              <c:strCache>
                <c:ptCount val="66"/>
                <c:pt idx="0">
                  <c:v>侯新</c:v>
                </c:pt>
                <c:pt idx="1">
                  <c:v>碧成仁</c:v>
                </c:pt>
                <c:pt idx="2">
                  <c:v>敛映波</c:v>
                </c:pt>
                <c:pt idx="3">
                  <c:v>赵又儿</c:v>
                </c:pt>
                <c:pt idx="4">
                  <c:v>萧永元</c:v>
                </c:pt>
                <c:pt idx="5">
                  <c:v>子车康伯</c:v>
                </c:pt>
                <c:pt idx="6">
                  <c:v>务鸿才</c:v>
                </c:pt>
                <c:pt idx="7">
                  <c:v>伟甘雨</c:v>
                </c:pt>
                <c:pt idx="8">
                  <c:v>檀天逸</c:v>
                </c:pt>
                <c:pt idx="9">
                  <c:v>季晶瑶</c:v>
                </c:pt>
                <c:pt idx="10">
                  <c:v>支胤雅</c:v>
                </c:pt>
                <c:pt idx="11">
                  <c:v>戈代芙</c:v>
                </c:pt>
                <c:pt idx="12">
                  <c:v>米经略</c:v>
                </c:pt>
                <c:pt idx="13">
                  <c:v>纳小萍</c:v>
                </c:pt>
                <c:pt idx="14">
                  <c:v>悟依波</c:v>
                </c:pt>
                <c:pt idx="15">
                  <c:v>书胤运</c:v>
                </c:pt>
                <c:pt idx="16">
                  <c:v>求千雁</c:v>
                </c:pt>
                <c:pt idx="17">
                  <c:v>微生云露</c:v>
                </c:pt>
                <c:pt idx="18">
                  <c:v>嬴陶宜</c:v>
                </c:pt>
                <c:pt idx="19">
                  <c:v>冼飞光</c:v>
                </c:pt>
                <c:pt idx="20">
                  <c:v>莫骞仕</c:v>
                </c:pt>
                <c:pt idx="21">
                  <c:v>睢俊逸</c:v>
                </c:pt>
                <c:pt idx="22">
                  <c:v>尧季</c:v>
                </c:pt>
                <c:pt idx="23">
                  <c:v>阳傲南</c:v>
                </c:pt>
                <c:pt idx="24">
                  <c:v>东方泽惠</c:v>
                </c:pt>
                <c:pt idx="25">
                  <c:v>郸运</c:v>
                </c:pt>
                <c:pt idx="26">
                  <c:v>伏丽姿</c:v>
                </c:pt>
                <c:pt idx="27">
                  <c:v>南门千秋</c:v>
                </c:pt>
                <c:pt idx="28">
                  <c:v>兴雅洁</c:v>
                </c:pt>
                <c:pt idx="29">
                  <c:v>粟尔琴</c:v>
                </c:pt>
                <c:pt idx="30">
                  <c:v>呼延忆安</c:v>
                </c:pt>
                <c:pt idx="31">
                  <c:v>五家骏</c:v>
                </c:pt>
                <c:pt idx="32">
                  <c:v>墨雨星</c:v>
                </c:pt>
                <c:pt idx="33">
                  <c:v>蔚香巧</c:v>
                </c:pt>
                <c:pt idx="34">
                  <c:v>阚瑜璟</c:v>
                </c:pt>
                <c:pt idx="35">
                  <c:v>徭修杰</c:v>
                </c:pt>
                <c:pt idx="36">
                  <c:v>卓英武</c:v>
                </c:pt>
                <c:pt idx="37">
                  <c:v>夏侯恨竹</c:v>
                </c:pt>
                <c:pt idx="38">
                  <c:v>邬英媛</c:v>
                </c:pt>
                <c:pt idx="39">
                  <c:v>欧阳小蕊</c:v>
                </c:pt>
                <c:pt idx="40">
                  <c:v>郯映真</c:v>
                </c:pt>
                <c:pt idx="41">
                  <c:v>归浩初</c:v>
                </c:pt>
                <c:pt idx="42">
                  <c:v>左丘白凝</c:v>
                </c:pt>
                <c:pt idx="43">
                  <c:v>宜乐音</c:v>
                </c:pt>
                <c:pt idx="44">
                  <c:v>汗香柳</c:v>
                </c:pt>
                <c:pt idx="45">
                  <c:v>绳高洁</c:v>
                </c:pt>
                <c:pt idx="46">
                  <c:v>鲜于童童</c:v>
                </c:pt>
                <c:pt idx="47">
                  <c:v>开飞鹏</c:v>
                </c:pt>
                <c:pt idx="48">
                  <c:v>宗政采梦</c:v>
                </c:pt>
                <c:pt idx="49">
                  <c:v>牢曼冬</c:v>
                </c:pt>
                <c:pt idx="50">
                  <c:v>祝白梅</c:v>
                </c:pt>
                <c:pt idx="51">
                  <c:v>马映天</c:v>
                </c:pt>
                <c:pt idx="52">
                  <c:v>居香莲</c:v>
                </c:pt>
                <c:pt idx="53">
                  <c:v>段秀隽</c:v>
                </c:pt>
                <c:pt idx="54">
                  <c:v>祭雁菱</c:v>
                </c:pt>
                <c:pt idx="55">
                  <c:v>曾秀媚</c:v>
                </c:pt>
                <c:pt idx="56">
                  <c:v>承映雁</c:v>
                </c:pt>
                <c:pt idx="57">
                  <c:v>老夜云</c:v>
                </c:pt>
                <c:pt idx="58">
                  <c:v>邛天翰</c:v>
                </c:pt>
                <c:pt idx="59">
                  <c:v>司马范明</c:v>
                </c:pt>
                <c:pt idx="60">
                  <c:v>拱寒香</c:v>
                </c:pt>
                <c:pt idx="61">
                  <c:v>王晓凡</c:v>
                </c:pt>
                <c:pt idx="62">
                  <c:v>闽清馨</c:v>
                </c:pt>
                <c:pt idx="63">
                  <c:v>伯蕴</c:v>
                </c:pt>
                <c:pt idx="64">
                  <c:v>司琼思</c:v>
                </c:pt>
                <c:pt idx="65">
                  <c:v>w</c:v>
                </c:pt>
              </c:strCache>
            </c:strRef>
          </c:cat>
          <c:val>
            <c:numRef>
              <c:f>Sheet2!$H$2:$H$67</c:f>
              <c:numCache>
                <c:formatCode>0</c:formatCode>
                <c:ptCount val="66"/>
                <c:pt idx="0" formatCode="General">
                  <c:v>10</c:v>
                </c:pt>
                <c:pt idx="1">
                  <c:v>49.8</c:v>
                </c:pt>
                <c:pt idx="2">
                  <c:v>25.72</c:v>
                </c:pt>
                <c:pt idx="3">
                  <c:v>36.47</c:v>
                </c:pt>
                <c:pt idx="4">
                  <c:v>20.64</c:v>
                </c:pt>
                <c:pt idx="5">
                  <c:v>19.93</c:v>
                </c:pt>
                <c:pt idx="6">
                  <c:v>35.22</c:v>
                </c:pt>
                <c:pt idx="7">
                  <c:v>47.03</c:v>
                </c:pt>
                <c:pt idx="8">
                  <c:v>3.14</c:v>
                </c:pt>
                <c:pt idx="9">
                  <c:v>15.64</c:v>
                </c:pt>
                <c:pt idx="10">
                  <c:v>1.05</c:v>
                </c:pt>
                <c:pt idx="11">
                  <c:v>46.3</c:v>
                </c:pt>
                <c:pt idx="12">
                  <c:v>38.5</c:v>
                </c:pt>
                <c:pt idx="13">
                  <c:v>8.1</c:v>
                </c:pt>
                <c:pt idx="14">
                  <c:v>44.43</c:v>
                </c:pt>
                <c:pt idx="15">
                  <c:v>30.69</c:v>
                </c:pt>
                <c:pt idx="16">
                  <c:v>43.78</c:v>
                </c:pt>
                <c:pt idx="17">
                  <c:v>44.31</c:v>
                </c:pt>
                <c:pt idx="18">
                  <c:v>18.41</c:v>
                </c:pt>
                <c:pt idx="19">
                  <c:v>13.76</c:v>
                </c:pt>
                <c:pt idx="20">
                  <c:v>16.63</c:v>
                </c:pt>
                <c:pt idx="21">
                  <c:v>29.85</c:v>
                </c:pt>
                <c:pt idx="22">
                  <c:v>49.39</c:v>
                </c:pt>
                <c:pt idx="23">
                  <c:v>11.77</c:v>
                </c:pt>
                <c:pt idx="24">
                  <c:v>21.97</c:v>
                </c:pt>
                <c:pt idx="25">
                  <c:v>5.27</c:v>
                </c:pt>
                <c:pt idx="26">
                  <c:v>44.76</c:v>
                </c:pt>
                <c:pt idx="27">
                  <c:v>16.82</c:v>
                </c:pt>
                <c:pt idx="28">
                  <c:v>37.65</c:v>
                </c:pt>
                <c:pt idx="29">
                  <c:v>13.2</c:v>
                </c:pt>
                <c:pt idx="30">
                  <c:v>21.59</c:v>
                </c:pt>
                <c:pt idx="31">
                  <c:v>5.86</c:v>
                </c:pt>
                <c:pt idx="32">
                  <c:v>0.73</c:v>
                </c:pt>
                <c:pt idx="33">
                  <c:v>45.87</c:v>
                </c:pt>
                <c:pt idx="34">
                  <c:v>46.45</c:v>
                </c:pt>
                <c:pt idx="35">
                  <c:v>21.13</c:v>
                </c:pt>
                <c:pt idx="36">
                  <c:v>14.02</c:v>
                </c:pt>
                <c:pt idx="37">
                  <c:v>24.86</c:v>
                </c:pt>
                <c:pt idx="38">
                  <c:v>24.08</c:v>
                </c:pt>
                <c:pt idx="39">
                  <c:v>36.450000000000003</c:v>
                </c:pt>
                <c:pt idx="40">
                  <c:v>16</c:v>
                </c:pt>
                <c:pt idx="41">
                  <c:v>43.29</c:v>
                </c:pt>
                <c:pt idx="42">
                  <c:v>38.71</c:v>
                </c:pt>
                <c:pt idx="43">
                  <c:v>6</c:v>
                </c:pt>
                <c:pt idx="44">
                  <c:v>6.22</c:v>
                </c:pt>
                <c:pt idx="45">
                  <c:v>37</c:v>
                </c:pt>
                <c:pt idx="46">
                  <c:v>36.61</c:v>
                </c:pt>
                <c:pt idx="47">
                  <c:v>22.05</c:v>
                </c:pt>
                <c:pt idx="48">
                  <c:v>2.82</c:v>
                </c:pt>
                <c:pt idx="49">
                  <c:v>3.48</c:v>
                </c:pt>
                <c:pt idx="50">
                  <c:v>3.14</c:v>
                </c:pt>
                <c:pt idx="51">
                  <c:v>14.89</c:v>
                </c:pt>
                <c:pt idx="52">
                  <c:v>4.9800000000000004</c:v>
                </c:pt>
                <c:pt idx="53">
                  <c:v>40.65</c:v>
                </c:pt>
                <c:pt idx="54">
                  <c:v>7.25</c:v>
                </c:pt>
                <c:pt idx="55">
                  <c:v>0.83</c:v>
                </c:pt>
                <c:pt idx="56">
                  <c:v>20.75</c:v>
                </c:pt>
                <c:pt idx="57">
                  <c:v>17.47</c:v>
                </c:pt>
                <c:pt idx="58">
                  <c:v>20.68</c:v>
                </c:pt>
                <c:pt idx="59">
                  <c:v>29.14</c:v>
                </c:pt>
                <c:pt idx="60">
                  <c:v>36.58</c:v>
                </c:pt>
                <c:pt idx="61">
                  <c:v>16.77</c:v>
                </c:pt>
                <c:pt idx="62">
                  <c:v>38.79</c:v>
                </c:pt>
                <c:pt idx="63">
                  <c:v>2.56</c:v>
                </c:pt>
                <c:pt idx="64">
                  <c:v>15.75</c:v>
                </c:pt>
                <c:pt idx="65" formatCode="General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DC-454E-928C-DD1C6DE95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77426552"/>
        <c:axId val="777427512"/>
      </c:barChart>
      <c:catAx>
        <c:axId val="777426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7427512"/>
        <c:crosses val="autoZero"/>
        <c:auto val="1"/>
        <c:lblAlgn val="ctr"/>
        <c:lblOffset val="100"/>
        <c:noMultiLvlLbl val="0"/>
      </c:catAx>
      <c:valAx>
        <c:axId val="77742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7426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[A测(已自动还原).xlsm]Sheet4!数据透视表1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414631548657851E-2"/>
          <c:y val="4.927538460704551E-2"/>
          <c:w val="0.85144557219359251"/>
          <c:h val="0.84496078201258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以下项目的总和:总收入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Sheet4!$A$2:$A$70</c:f>
              <c:multiLvlStrCache>
                <c:ptCount val="65"/>
                <c:lvl>
                  <c:pt idx="0">
                    <c:v>碧成仁</c:v>
                  </c:pt>
                  <c:pt idx="1">
                    <c:v>东方泽惠</c:v>
                  </c:pt>
                  <c:pt idx="2">
                    <c:v>戈代芙</c:v>
                  </c:pt>
                  <c:pt idx="3">
                    <c:v>侯新</c:v>
                  </c:pt>
                  <c:pt idx="4">
                    <c:v>季晶瑶</c:v>
                  </c:pt>
                  <c:pt idx="5">
                    <c:v>敛映波</c:v>
                  </c:pt>
                  <c:pt idx="6">
                    <c:v>米经略</c:v>
                  </c:pt>
                  <c:pt idx="7">
                    <c:v>莫骞仕</c:v>
                  </c:pt>
                  <c:pt idx="8">
                    <c:v>纳小萍</c:v>
                  </c:pt>
                  <c:pt idx="9">
                    <c:v>求千雁</c:v>
                  </c:pt>
                  <c:pt idx="10">
                    <c:v>书胤运</c:v>
                  </c:pt>
                  <c:pt idx="11">
                    <c:v>睢俊逸</c:v>
                  </c:pt>
                  <c:pt idx="12">
                    <c:v>檀天逸</c:v>
                  </c:pt>
                  <c:pt idx="13">
                    <c:v>微生云露</c:v>
                  </c:pt>
                  <c:pt idx="14">
                    <c:v>伟甘雨</c:v>
                  </c:pt>
                  <c:pt idx="15">
                    <c:v>务鸿才</c:v>
                  </c:pt>
                  <c:pt idx="16">
                    <c:v>悟依波</c:v>
                  </c:pt>
                  <c:pt idx="17">
                    <c:v>冼飞光</c:v>
                  </c:pt>
                  <c:pt idx="18">
                    <c:v>萧永元</c:v>
                  </c:pt>
                  <c:pt idx="19">
                    <c:v>阳傲南</c:v>
                  </c:pt>
                  <c:pt idx="20">
                    <c:v>尧季</c:v>
                  </c:pt>
                  <c:pt idx="21">
                    <c:v>嬴陶宜</c:v>
                  </c:pt>
                  <c:pt idx="22">
                    <c:v>赵又儿</c:v>
                  </c:pt>
                  <c:pt idx="23">
                    <c:v>支胤雅</c:v>
                  </c:pt>
                  <c:pt idx="24">
                    <c:v>子车康伯</c:v>
                  </c:pt>
                  <c:pt idx="25">
                    <c:v>郸运</c:v>
                  </c:pt>
                  <c:pt idx="26">
                    <c:v>段秀隽</c:v>
                  </c:pt>
                  <c:pt idx="27">
                    <c:v>伏丽姿</c:v>
                  </c:pt>
                  <c:pt idx="28">
                    <c:v>归浩初</c:v>
                  </c:pt>
                  <c:pt idx="29">
                    <c:v>汗香柳</c:v>
                  </c:pt>
                  <c:pt idx="30">
                    <c:v>呼延忆安</c:v>
                  </c:pt>
                  <c:pt idx="31">
                    <c:v>祭雁菱</c:v>
                  </c:pt>
                  <c:pt idx="32">
                    <c:v>居香莲</c:v>
                  </c:pt>
                  <c:pt idx="33">
                    <c:v>开飞鹏</c:v>
                  </c:pt>
                  <c:pt idx="34">
                    <c:v>阚瑜璟</c:v>
                  </c:pt>
                  <c:pt idx="35">
                    <c:v>牢曼冬</c:v>
                  </c:pt>
                  <c:pt idx="36">
                    <c:v>马映天</c:v>
                  </c:pt>
                  <c:pt idx="37">
                    <c:v>墨雨星</c:v>
                  </c:pt>
                  <c:pt idx="38">
                    <c:v>南门千秋</c:v>
                  </c:pt>
                  <c:pt idx="39">
                    <c:v>欧阳小蕊</c:v>
                  </c:pt>
                  <c:pt idx="40">
                    <c:v>绳高洁</c:v>
                  </c:pt>
                  <c:pt idx="41">
                    <c:v>粟尔琴</c:v>
                  </c:pt>
                  <c:pt idx="42">
                    <c:v>郯映真</c:v>
                  </c:pt>
                  <c:pt idx="43">
                    <c:v>蔚香巧</c:v>
                  </c:pt>
                  <c:pt idx="44">
                    <c:v>邬英媛</c:v>
                  </c:pt>
                  <c:pt idx="45">
                    <c:v>五家骏</c:v>
                  </c:pt>
                  <c:pt idx="46">
                    <c:v>夏侯恨竹</c:v>
                  </c:pt>
                  <c:pt idx="47">
                    <c:v>鲜于童童</c:v>
                  </c:pt>
                  <c:pt idx="48">
                    <c:v>兴雅洁</c:v>
                  </c:pt>
                  <c:pt idx="49">
                    <c:v>徭修杰</c:v>
                  </c:pt>
                  <c:pt idx="50">
                    <c:v>宜乐音</c:v>
                  </c:pt>
                  <c:pt idx="51">
                    <c:v>祝白梅</c:v>
                  </c:pt>
                  <c:pt idx="52">
                    <c:v>卓英武</c:v>
                  </c:pt>
                  <c:pt idx="53">
                    <c:v>宗政采梦</c:v>
                  </c:pt>
                  <c:pt idx="54">
                    <c:v>左丘白凝</c:v>
                  </c:pt>
                  <c:pt idx="55">
                    <c:v>伯蕴</c:v>
                  </c:pt>
                  <c:pt idx="56">
                    <c:v>曾秀媚</c:v>
                  </c:pt>
                  <c:pt idx="57">
                    <c:v>承映雁</c:v>
                  </c:pt>
                  <c:pt idx="58">
                    <c:v>拱寒香</c:v>
                  </c:pt>
                  <c:pt idx="59">
                    <c:v>老夜云</c:v>
                  </c:pt>
                  <c:pt idx="60">
                    <c:v>闽清馨</c:v>
                  </c:pt>
                  <c:pt idx="61">
                    <c:v>邛天翰</c:v>
                  </c:pt>
                  <c:pt idx="62">
                    <c:v>司马范明</c:v>
                  </c:pt>
                  <c:pt idx="63">
                    <c:v>司琼思</c:v>
                  </c:pt>
                  <c:pt idx="64">
                    <c:v>王晓凡</c:v>
                  </c:pt>
                </c:lvl>
                <c:lvl>
                  <c:pt idx="0">
                    <c:v>3 月</c:v>
                  </c:pt>
                  <c:pt idx="25">
                    <c:v>4 月</c:v>
                  </c:pt>
                  <c:pt idx="55">
                    <c:v>5 月</c:v>
                  </c:pt>
                </c:lvl>
              </c:multiLvlStrCache>
            </c:multiLvlStrRef>
          </c:cat>
          <c:val>
            <c:numRef>
              <c:f>Sheet4!$B$2:$B$70</c:f>
              <c:numCache>
                <c:formatCode>General</c:formatCode>
                <c:ptCount val="65"/>
                <c:pt idx="0">
                  <c:v>243</c:v>
                </c:pt>
                <c:pt idx="1">
                  <c:v>386</c:v>
                </c:pt>
                <c:pt idx="2">
                  <c:v>130</c:v>
                </c:pt>
                <c:pt idx="3">
                  <c:v>0</c:v>
                </c:pt>
                <c:pt idx="4">
                  <c:v>320</c:v>
                </c:pt>
                <c:pt idx="5">
                  <c:v>380</c:v>
                </c:pt>
                <c:pt idx="6">
                  <c:v>246</c:v>
                </c:pt>
                <c:pt idx="7">
                  <c:v>187</c:v>
                </c:pt>
                <c:pt idx="8">
                  <c:v>161</c:v>
                </c:pt>
                <c:pt idx="9">
                  <c:v>258</c:v>
                </c:pt>
                <c:pt idx="10">
                  <c:v>232</c:v>
                </c:pt>
                <c:pt idx="11">
                  <c:v>273</c:v>
                </c:pt>
                <c:pt idx="12">
                  <c:v>238</c:v>
                </c:pt>
                <c:pt idx="13">
                  <c:v>325</c:v>
                </c:pt>
                <c:pt idx="14">
                  <c:v>258</c:v>
                </c:pt>
                <c:pt idx="15">
                  <c:v>244</c:v>
                </c:pt>
                <c:pt idx="16">
                  <c:v>207</c:v>
                </c:pt>
                <c:pt idx="17">
                  <c:v>322</c:v>
                </c:pt>
                <c:pt idx="18">
                  <c:v>119</c:v>
                </c:pt>
                <c:pt idx="19">
                  <c:v>323</c:v>
                </c:pt>
                <c:pt idx="20">
                  <c:v>289</c:v>
                </c:pt>
                <c:pt idx="21">
                  <c:v>346</c:v>
                </c:pt>
                <c:pt idx="22">
                  <c:v>115</c:v>
                </c:pt>
                <c:pt idx="23">
                  <c:v>346</c:v>
                </c:pt>
                <c:pt idx="24">
                  <c:v>264</c:v>
                </c:pt>
                <c:pt idx="25">
                  <c:v>178</c:v>
                </c:pt>
                <c:pt idx="26">
                  <c:v>192</c:v>
                </c:pt>
                <c:pt idx="27">
                  <c:v>271</c:v>
                </c:pt>
                <c:pt idx="28">
                  <c:v>274</c:v>
                </c:pt>
                <c:pt idx="29">
                  <c:v>395</c:v>
                </c:pt>
                <c:pt idx="30">
                  <c:v>184</c:v>
                </c:pt>
                <c:pt idx="31">
                  <c:v>143</c:v>
                </c:pt>
                <c:pt idx="32">
                  <c:v>274</c:v>
                </c:pt>
                <c:pt idx="33">
                  <c:v>233</c:v>
                </c:pt>
                <c:pt idx="34">
                  <c:v>269</c:v>
                </c:pt>
                <c:pt idx="35">
                  <c:v>248</c:v>
                </c:pt>
                <c:pt idx="36">
                  <c:v>263</c:v>
                </c:pt>
                <c:pt idx="37">
                  <c:v>230</c:v>
                </c:pt>
                <c:pt idx="38">
                  <c:v>264</c:v>
                </c:pt>
                <c:pt idx="39">
                  <c:v>291</c:v>
                </c:pt>
                <c:pt idx="40">
                  <c:v>146</c:v>
                </c:pt>
                <c:pt idx="41">
                  <c:v>277</c:v>
                </c:pt>
                <c:pt idx="42">
                  <c:v>197</c:v>
                </c:pt>
                <c:pt idx="43">
                  <c:v>295</c:v>
                </c:pt>
                <c:pt idx="44">
                  <c:v>244</c:v>
                </c:pt>
                <c:pt idx="45">
                  <c:v>450</c:v>
                </c:pt>
                <c:pt idx="46">
                  <c:v>286</c:v>
                </c:pt>
                <c:pt idx="47">
                  <c:v>124</c:v>
                </c:pt>
                <c:pt idx="48">
                  <c:v>177</c:v>
                </c:pt>
                <c:pt idx="49">
                  <c:v>290</c:v>
                </c:pt>
                <c:pt idx="50">
                  <c:v>225</c:v>
                </c:pt>
                <c:pt idx="51">
                  <c:v>279</c:v>
                </c:pt>
                <c:pt idx="52">
                  <c:v>120</c:v>
                </c:pt>
                <c:pt idx="53">
                  <c:v>282</c:v>
                </c:pt>
                <c:pt idx="54">
                  <c:v>120</c:v>
                </c:pt>
                <c:pt idx="55">
                  <c:v>212</c:v>
                </c:pt>
                <c:pt idx="56">
                  <c:v>20</c:v>
                </c:pt>
                <c:pt idx="57">
                  <c:v>195</c:v>
                </c:pt>
                <c:pt idx="58">
                  <c:v>192</c:v>
                </c:pt>
                <c:pt idx="59">
                  <c:v>320</c:v>
                </c:pt>
                <c:pt idx="60">
                  <c:v>340</c:v>
                </c:pt>
                <c:pt idx="61">
                  <c:v>291</c:v>
                </c:pt>
                <c:pt idx="62">
                  <c:v>288</c:v>
                </c:pt>
                <c:pt idx="63">
                  <c:v>259</c:v>
                </c:pt>
                <c:pt idx="64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44-47CB-A52C-DC17AD2E5E8B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以下项目的总和:b类药水充值收入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Sheet4!$A$2:$A$70</c:f>
              <c:multiLvlStrCache>
                <c:ptCount val="65"/>
                <c:lvl>
                  <c:pt idx="0">
                    <c:v>碧成仁</c:v>
                  </c:pt>
                  <c:pt idx="1">
                    <c:v>东方泽惠</c:v>
                  </c:pt>
                  <c:pt idx="2">
                    <c:v>戈代芙</c:v>
                  </c:pt>
                  <c:pt idx="3">
                    <c:v>侯新</c:v>
                  </c:pt>
                  <c:pt idx="4">
                    <c:v>季晶瑶</c:v>
                  </c:pt>
                  <c:pt idx="5">
                    <c:v>敛映波</c:v>
                  </c:pt>
                  <c:pt idx="6">
                    <c:v>米经略</c:v>
                  </c:pt>
                  <c:pt idx="7">
                    <c:v>莫骞仕</c:v>
                  </c:pt>
                  <c:pt idx="8">
                    <c:v>纳小萍</c:v>
                  </c:pt>
                  <c:pt idx="9">
                    <c:v>求千雁</c:v>
                  </c:pt>
                  <c:pt idx="10">
                    <c:v>书胤运</c:v>
                  </c:pt>
                  <c:pt idx="11">
                    <c:v>睢俊逸</c:v>
                  </c:pt>
                  <c:pt idx="12">
                    <c:v>檀天逸</c:v>
                  </c:pt>
                  <c:pt idx="13">
                    <c:v>微生云露</c:v>
                  </c:pt>
                  <c:pt idx="14">
                    <c:v>伟甘雨</c:v>
                  </c:pt>
                  <c:pt idx="15">
                    <c:v>务鸿才</c:v>
                  </c:pt>
                  <c:pt idx="16">
                    <c:v>悟依波</c:v>
                  </c:pt>
                  <c:pt idx="17">
                    <c:v>冼飞光</c:v>
                  </c:pt>
                  <c:pt idx="18">
                    <c:v>萧永元</c:v>
                  </c:pt>
                  <c:pt idx="19">
                    <c:v>阳傲南</c:v>
                  </c:pt>
                  <c:pt idx="20">
                    <c:v>尧季</c:v>
                  </c:pt>
                  <c:pt idx="21">
                    <c:v>嬴陶宜</c:v>
                  </c:pt>
                  <c:pt idx="22">
                    <c:v>赵又儿</c:v>
                  </c:pt>
                  <c:pt idx="23">
                    <c:v>支胤雅</c:v>
                  </c:pt>
                  <c:pt idx="24">
                    <c:v>子车康伯</c:v>
                  </c:pt>
                  <c:pt idx="25">
                    <c:v>郸运</c:v>
                  </c:pt>
                  <c:pt idx="26">
                    <c:v>段秀隽</c:v>
                  </c:pt>
                  <c:pt idx="27">
                    <c:v>伏丽姿</c:v>
                  </c:pt>
                  <c:pt idx="28">
                    <c:v>归浩初</c:v>
                  </c:pt>
                  <c:pt idx="29">
                    <c:v>汗香柳</c:v>
                  </c:pt>
                  <c:pt idx="30">
                    <c:v>呼延忆安</c:v>
                  </c:pt>
                  <c:pt idx="31">
                    <c:v>祭雁菱</c:v>
                  </c:pt>
                  <c:pt idx="32">
                    <c:v>居香莲</c:v>
                  </c:pt>
                  <c:pt idx="33">
                    <c:v>开飞鹏</c:v>
                  </c:pt>
                  <c:pt idx="34">
                    <c:v>阚瑜璟</c:v>
                  </c:pt>
                  <c:pt idx="35">
                    <c:v>牢曼冬</c:v>
                  </c:pt>
                  <c:pt idx="36">
                    <c:v>马映天</c:v>
                  </c:pt>
                  <c:pt idx="37">
                    <c:v>墨雨星</c:v>
                  </c:pt>
                  <c:pt idx="38">
                    <c:v>南门千秋</c:v>
                  </c:pt>
                  <c:pt idx="39">
                    <c:v>欧阳小蕊</c:v>
                  </c:pt>
                  <c:pt idx="40">
                    <c:v>绳高洁</c:v>
                  </c:pt>
                  <c:pt idx="41">
                    <c:v>粟尔琴</c:v>
                  </c:pt>
                  <c:pt idx="42">
                    <c:v>郯映真</c:v>
                  </c:pt>
                  <c:pt idx="43">
                    <c:v>蔚香巧</c:v>
                  </c:pt>
                  <c:pt idx="44">
                    <c:v>邬英媛</c:v>
                  </c:pt>
                  <c:pt idx="45">
                    <c:v>五家骏</c:v>
                  </c:pt>
                  <c:pt idx="46">
                    <c:v>夏侯恨竹</c:v>
                  </c:pt>
                  <c:pt idx="47">
                    <c:v>鲜于童童</c:v>
                  </c:pt>
                  <c:pt idx="48">
                    <c:v>兴雅洁</c:v>
                  </c:pt>
                  <c:pt idx="49">
                    <c:v>徭修杰</c:v>
                  </c:pt>
                  <c:pt idx="50">
                    <c:v>宜乐音</c:v>
                  </c:pt>
                  <c:pt idx="51">
                    <c:v>祝白梅</c:v>
                  </c:pt>
                  <c:pt idx="52">
                    <c:v>卓英武</c:v>
                  </c:pt>
                  <c:pt idx="53">
                    <c:v>宗政采梦</c:v>
                  </c:pt>
                  <c:pt idx="54">
                    <c:v>左丘白凝</c:v>
                  </c:pt>
                  <c:pt idx="55">
                    <c:v>伯蕴</c:v>
                  </c:pt>
                  <c:pt idx="56">
                    <c:v>曾秀媚</c:v>
                  </c:pt>
                  <c:pt idx="57">
                    <c:v>承映雁</c:v>
                  </c:pt>
                  <c:pt idx="58">
                    <c:v>拱寒香</c:v>
                  </c:pt>
                  <c:pt idx="59">
                    <c:v>老夜云</c:v>
                  </c:pt>
                  <c:pt idx="60">
                    <c:v>闽清馨</c:v>
                  </c:pt>
                  <c:pt idx="61">
                    <c:v>邛天翰</c:v>
                  </c:pt>
                  <c:pt idx="62">
                    <c:v>司马范明</c:v>
                  </c:pt>
                  <c:pt idx="63">
                    <c:v>司琼思</c:v>
                  </c:pt>
                  <c:pt idx="64">
                    <c:v>王晓凡</c:v>
                  </c:pt>
                </c:lvl>
                <c:lvl>
                  <c:pt idx="0">
                    <c:v>3 月</c:v>
                  </c:pt>
                  <c:pt idx="25">
                    <c:v>4 月</c:v>
                  </c:pt>
                  <c:pt idx="55">
                    <c:v>5 月</c:v>
                  </c:pt>
                </c:lvl>
              </c:multiLvlStrCache>
            </c:multiLvlStrRef>
          </c:cat>
          <c:val>
            <c:numRef>
              <c:f>Sheet4!$C$2:$C$70</c:f>
              <c:numCache>
                <c:formatCode>General</c:formatCode>
                <c:ptCount val="65"/>
                <c:pt idx="0">
                  <c:v>180</c:v>
                </c:pt>
                <c:pt idx="1">
                  <c:v>200</c:v>
                </c:pt>
                <c:pt idx="2">
                  <c:v>40</c:v>
                </c:pt>
                <c:pt idx="3">
                  <c:v>0</c:v>
                </c:pt>
                <c:pt idx="4">
                  <c:v>140</c:v>
                </c:pt>
                <c:pt idx="5">
                  <c:v>200</c:v>
                </c:pt>
                <c:pt idx="6">
                  <c:v>60</c:v>
                </c:pt>
                <c:pt idx="7">
                  <c:v>40</c:v>
                </c:pt>
                <c:pt idx="8">
                  <c:v>20</c:v>
                </c:pt>
                <c:pt idx="9">
                  <c:v>120</c:v>
                </c:pt>
                <c:pt idx="10">
                  <c:v>160</c:v>
                </c:pt>
                <c:pt idx="11">
                  <c:v>60</c:v>
                </c:pt>
                <c:pt idx="12">
                  <c:v>100</c:v>
                </c:pt>
                <c:pt idx="13">
                  <c:v>160</c:v>
                </c:pt>
                <c:pt idx="14">
                  <c:v>180</c:v>
                </c:pt>
                <c:pt idx="15">
                  <c:v>100</c:v>
                </c:pt>
                <c:pt idx="16">
                  <c:v>180</c:v>
                </c:pt>
                <c:pt idx="17">
                  <c:v>100</c:v>
                </c:pt>
                <c:pt idx="18">
                  <c:v>20</c:v>
                </c:pt>
                <c:pt idx="19">
                  <c:v>140</c:v>
                </c:pt>
                <c:pt idx="20">
                  <c:v>160</c:v>
                </c:pt>
                <c:pt idx="21">
                  <c:v>100</c:v>
                </c:pt>
                <c:pt idx="22">
                  <c:v>40</c:v>
                </c:pt>
                <c:pt idx="23">
                  <c:v>160</c:v>
                </c:pt>
                <c:pt idx="24">
                  <c:v>60</c:v>
                </c:pt>
                <c:pt idx="25">
                  <c:v>40</c:v>
                </c:pt>
                <c:pt idx="26">
                  <c:v>60</c:v>
                </c:pt>
                <c:pt idx="27">
                  <c:v>100</c:v>
                </c:pt>
                <c:pt idx="28">
                  <c:v>100</c:v>
                </c:pt>
                <c:pt idx="29">
                  <c:v>140</c:v>
                </c:pt>
                <c:pt idx="30">
                  <c:v>160</c:v>
                </c:pt>
                <c:pt idx="31">
                  <c:v>80</c:v>
                </c:pt>
                <c:pt idx="32">
                  <c:v>100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80</c:v>
                </c:pt>
                <c:pt idx="38">
                  <c:v>180</c:v>
                </c:pt>
                <c:pt idx="39">
                  <c:v>180</c:v>
                </c:pt>
                <c:pt idx="40">
                  <c:v>80</c:v>
                </c:pt>
                <c:pt idx="41">
                  <c:v>160</c:v>
                </c:pt>
                <c:pt idx="42">
                  <c:v>140</c:v>
                </c:pt>
                <c:pt idx="43">
                  <c:v>160</c:v>
                </c:pt>
                <c:pt idx="44">
                  <c:v>160</c:v>
                </c:pt>
                <c:pt idx="45">
                  <c:v>180</c:v>
                </c:pt>
                <c:pt idx="46">
                  <c:v>160</c:v>
                </c:pt>
                <c:pt idx="47">
                  <c:v>40</c:v>
                </c:pt>
                <c:pt idx="48">
                  <c:v>120</c:v>
                </c:pt>
                <c:pt idx="49">
                  <c:v>200</c:v>
                </c:pt>
                <c:pt idx="50">
                  <c:v>120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120</c:v>
                </c:pt>
                <c:pt idx="55">
                  <c:v>140</c:v>
                </c:pt>
                <c:pt idx="56">
                  <c:v>20</c:v>
                </c:pt>
                <c:pt idx="57">
                  <c:v>180</c:v>
                </c:pt>
                <c:pt idx="58">
                  <c:v>120</c:v>
                </c:pt>
                <c:pt idx="59">
                  <c:v>200</c:v>
                </c:pt>
                <c:pt idx="60">
                  <c:v>100</c:v>
                </c:pt>
                <c:pt idx="61">
                  <c:v>120</c:v>
                </c:pt>
                <c:pt idx="62">
                  <c:v>180</c:v>
                </c:pt>
                <c:pt idx="63">
                  <c:v>160</c:v>
                </c:pt>
                <c:pt idx="64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44-47CB-A52C-DC17AD2E5E8B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以下项目的总和:a类药水充值收入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Sheet4!$A$2:$A$70</c:f>
              <c:multiLvlStrCache>
                <c:ptCount val="65"/>
                <c:lvl>
                  <c:pt idx="0">
                    <c:v>碧成仁</c:v>
                  </c:pt>
                  <c:pt idx="1">
                    <c:v>东方泽惠</c:v>
                  </c:pt>
                  <c:pt idx="2">
                    <c:v>戈代芙</c:v>
                  </c:pt>
                  <c:pt idx="3">
                    <c:v>侯新</c:v>
                  </c:pt>
                  <c:pt idx="4">
                    <c:v>季晶瑶</c:v>
                  </c:pt>
                  <c:pt idx="5">
                    <c:v>敛映波</c:v>
                  </c:pt>
                  <c:pt idx="6">
                    <c:v>米经略</c:v>
                  </c:pt>
                  <c:pt idx="7">
                    <c:v>莫骞仕</c:v>
                  </c:pt>
                  <c:pt idx="8">
                    <c:v>纳小萍</c:v>
                  </c:pt>
                  <c:pt idx="9">
                    <c:v>求千雁</c:v>
                  </c:pt>
                  <c:pt idx="10">
                    <c:v>书胤运</c:v>
                  </c:pt>
                  <c:pt idx="11">
                    <c:v>睢俊逸</c:v>
                  </c:pt>
                  <c:pt idx="12">
                    <c:v>檀天逸</c:v>
                  </c:pt>
                  <c:pt idx="13">
                    <c:v>微生云露</c:v>
                  </c:pt>
                  <c:pt idx="14">
                    <c:v>伟甘雨</c:v>
                  </c:pt>
                  <c:pt idx="15">
                    <c:v>务鸿才</c:v>
                  </c:pt>
                  <c:pt idx="16">
                    <c:v>悟依波</c:v>
                  </c:pt>
                  <c:pt idx="17">
                    <c:v>冼飞光</c:v>
                  </c:pt>
                  <c:pt idx="18">
                    <c:v>萧永元</c:v>
                  </c:pt>
                  <c:pt idx="19">
                    <c:v>阳傲南</c:v>
                  </c:pt>
                  <c:pt idx="20">
                    <c:v>尧季</c:v>
                  </c:pt>
                  <c:pt idx="21">
                    <c:v>嬴陶宜</c:v>
                  </c:pt>
                  <c:pt idx="22">
                    <c:v>赵又儿</c:v>
                  </c:pt>
                  <c:pt idx="23">
                    <c:v>支胤雅</c:v>
                  </c:pt>
                  <c:pt idx="24">
                    <c:v>子车康伯</c:v>
                  </c:pt>
                  <c:pt idx="25">
                    <c:v>郸运</c:v>
                  </c:pt>
                  <c:pt idx="26">
                    <c:v>段秀隽</c:v>
                  </c:pt>
                  <c:pt idx="27">
                    <c:v>伏丽姿</c:v>
                  </c:pt>
                  <c:pt idx="28">
                    <c:v>归浩初</c:v>
                  </c:pt>
                  <c:pt idx="29">
                    <c:v>汗香柳</c:v>
                  </c:pt>
                  <c:pt idx="30">
                    <c:v>呼延忆安</c:v>
                  </c:pt>
                  <c:pt idx="31">
                    <c:v>祭雁菱</c:v>
                  </c:pt>
                  <c:pt idx="32">
                    <c:v>居香莲</c:v>
                  </c:pt>
                  <c:pt idx="33">
                    <c:v>开飞鹏</c:v>
                  </c:pt>
                  <c:pt idx="34">
                    <c:v>阚瑜璟</c:v>
                  </c:pt>
                  <c:pt idx="35">
                    <c:v>牢曼冬</c:v>
                  </c:pt>
                  <c:pt idx="36">
                    <c:v>马映天</c:v>
                  </c:pt>
                  <c:pt idx="37">
                    <c:v>墨雨星</c:v>
                  </c:pt>
                  <c:pt idx="38">
                    <c:v>南门千秋</c:v>
                  </c:pt>
                  <c:pt idx="39">
                    <c:v>欧阳小蕊</c:v>
                  </c:pt>
                  <c:pt idx="40">
                    <c:v>绳高洁</c:v>
                  </c:pt>
                  <c:pt idx="41">
                    <c:v>粟尔琴</c:v>
                  </c:pt>
                  <c:pt idx="42">
                    <c:v>郯映真</c:v>
                  </c:pt>
                  <c:pt idx="43">
                    <c:v>蔚香巧</c:v>
                  </c:pt>
                  <c:pt idx="44">
                    <c:v>邬英媛</c:v>
                  </c:pt>
                  <c:pt idx="45">
                    <c:v>五家骏</c:v>
                  </c:pt>
                  <c:pt idx="46">
                    <c:v>夏侯恨竹</c:v>
                  </c:pt>
                  <c:pt idx="47">
                    <c:v>鲜于童童</c:v>
                  </c:pt>
                  <c:pt idx="48">
                    <c:v>兴雅洁</c:v>
                  </c:pt>
                  <c:pt idx="49">
                    <c:v>徭修杰</c:v>
                  </c:pt>
                  <c:pt idx="50">
                    <c:v>宜乐音</c:v>
                  </c:pt>
                  <c:pt idx="51">
                    <c:v>祝白梅</c:v>
                  </c:pt>
                  <c:pt idx="52">
                    <c:v>卓英武</c:v>
                  </c:pt>
                  <c:pt idx="53">
                    <c:v>宗政采梦</c:v>
                  </c:pt>
                  <c:pt idx="54">
                    <c:v>左丘白凝</c:v>
                  </c:pt>
                  <c:pt idx="55">
                    <c:v>伯蕴</c:v>
                  </c:pt>
                  <c:pt idx="56">
                    <c:v>曾秀媚</c:v>
                  </c:pt>
                  <c:pt idx="57">
                    <c:v>承映雁</c:v>
                  </c:pt>
                  <c:pt idx="58">
                    <c:v>拱寒香</c:v>
                  </c:pt>
                  <c:pt idx="59">
                    <c:v>老夜云</c:v>
                  </c:pt>
                  <c:pt idx="60">
                    <c:v>闽清馨</c:v>
                  </c:pt>
                  <c:pt idx="61">
                    <c:v>邛天翰</c:v>
                  </c:pt>
                  <c:pt idx="62">
                    <c:v>司马范明</c:v>
                  </c:pt>
                  <c:pt idx="63">
                    <c:v>司琼思</c:v>
                  </c:pt>
                  <c:pt idx="64">
                    <c:v>王晓凡</c:v>
                  </c:pt>
                </c:lvl>
                <c:lvl>
                  <c:pt idx="0">
                    <c:v>3 月</c:v>
                  </c:pt>
                  <c:pt idx="25">
                    <c:v>4 月</c:v>
                  </c:pt>
                  <c:pt idx="55">
                    <c:v>5 月</c:v>
                  </c:pt>
                </c:lvl>
              </c:multiLvlStrCache>
            </c:multiLvlStrRef>
          </c:cat>
          <c:val>
            <c:numRef>
              <c:f>Sheet4!$D$2:$D$70</c:f>
              <c:numCache>
                <c:formatCode>General</c:formatCode>
                <c:ptCount val="65"/>
                <c:pt idx="0">
                  <c:v>15</c:v>
                </c:pt>
                <c:pt idx="1">
                  <c:v>90</c:v>
                </c:pt>
                <c:pt idx="2">
                  <c:v>30</c:v>
                </c:pt>
                <c:pt idx="3">
                  <c:v>0</c:v>
                </c:pt>
                <c:pt idx="4">
                  <c:v>120</c:v>
                </c:pt>
                <c:pt idx="5">
                  <c:v>60</c:v>
                </c:pt>
                <c:pt idx="6">
                  <c:v>150</c:v>
                </c:pt>
                <c:pt idx="7">
                  <c:v>75</c:v>
                </c:pt>
                <c:pt idx="8">
                  <c:v>45</c:v>
                </c:pt>
                <c:pt idx="9">
                  <c:v>90</c:v>
                </c:pt>
                <c:pt idx="10">
                  <c:v>0</c:v>
                </c:pt>
                <c:pt idx="11">
                  <c:v>105</c:v>
                </c:pt>
                <c:pt idx="12">
                  <c:v>30</c:v>
                </c:pt>
                <c:pt idx="13">
                  <c:v>105</c:v>
                </c:pt>
                <c:pt idx="14">
                  <c:v>30</c:v>
                </c:pt>
                <c:pt idx="15">
                  <c:v>120</c:v>
                </c:pt>
                <c:pt idx="16">
                  <c:v>15</c:v>
                </c:pt>
                <c:pt idx="17">
                  <c:v>150</c:v>
                </c:pt>
                <c:pt idx="18">
                  <c:v>15</c:v>
                </c:pt>
                <c:pt idx="19">
                  <c:v>75</c:v>
                </c:pt>
                <c:pt idx="20">
                  <c:v>45</c:v>
                </c:pt>
                <c:pt idx="21">
                  <c:v>150</c:v>
                </c:pt>
                <c:pt idx="22">
                  <c:v>15</c:v>
                </c:pt>
                <c:pt idx="23">
                  <c:v>90</c:v>
                </c:pt>
                <c:pt idx="24">
                  <c:v>120</c:v>
                </c:pt>
                <c:pt idx="25">
                  <c:v>90</c:v>
                </c:pt>
                <c:pt idx="26">
                  <c:v>60</c:v>
                </c:pt>
                <c:pt idx="27">
                  <c:v>135</c:v>
                </c:pt>
                <c:pt idx="28">
                  <c:v>90</c:v>
                </c:pt>
                <c:pt idx="29">
                  <c:v>135</c:v>
                </c:pt>
                <c:pt idx="30">
                  <c:v>0</c:v>
                </c:pt>
                <c:pt idx="31">
                  <c:v>15</c:v>
                </c:pt>
                <c:pt idx="32">
                  <c:v>150</c:v>
                </c:pt>
                <c:pt idx="33">
                  <c:v>45</c:v>
                </c:pt>
                <c:pt idx="34">
                  <c:v>45</c:v>
                </c:pt>
                <c:pt idx="35">
                  <c:v>0</c:v>
                </c:pt>
                <c:pt idx="36">
                  <c:v>15</c:v>
                </c:pt>
                <c:pt idx="37">
                  <c:v>90</c:v>
                </c:pt>
                <c:pt idx="38">
                  <c:v>0</c:v>
                </c:pt>
                <c:pt idx="39">
                  <c:v>75</c:v>
                </c:pt>
                <c:pt idx="40">
                  <c:v>30</c:v>
                </c:pt>
                <c:pt idx="41">
                  <c:v>105</c:v>
                </c:pt>
                <c:pt idx="42">
                  <c:v>45</c:v>
                </c:pt>
                <c:pt idx="43">
                  <c:v>135</c:v>
                </c:pt>
                <c:pt idx="44">
                  <c:v>60</c:v>
                </c:pt>
                <c:pt idx="45">
                  <c:v>150</c:v>
                </c:pt>
                <c:pt idx="46">
                  <c:v>30</c:v>
                </c:pt>
                <c:pt idx="47">
                  <c:v>0</c:v>
                </c:pt>
                <c:pt idx="48">
                  <c:v>45</c:v>
                </c:pt>
                <c:pt idx="49">
                  <c:v>30</c:v>
                </c:pt>
                <c:pt idx="50">
                  <c:v>45</c:v>
                </c:pt>
                <c:pt idx="51">
                  <c:v>135</c:v>
                </c:pt>
                <c:pt idx="52">
                  <c:v>60</c:v>
                </c:pt>
                <c:pt idx="53">
                  <c:v>150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15</c:v>
                </c:pt>
                <c:pt idx="58">
                  <c:v>0</c:v>
                </c:pt>
                <c:pt idx="59">
                  <c:v>0</c:v>
                </c:pt>
                <c:pt idx="60">
                  <c:v>120</c:v>
                </c:pt>
                <c:pt idx="61">
                  <c:v>135</c:v>
                </c:pt>
                <c:pt idx="62">
                  <c:v>60</c:v>
                </c:pt>
                <c:pt idx="63">
                  <c:v>75</c:v>
                </c:pt>
                <c:pt idx="64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44-47CB-A52C-DC17AD2E5E8B}"/>
            </c:ext>
          </c:extLst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以下项目的总和:移动点数充值收入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Sheet4!$A$2:$A$70</c:f>
              <c:multiLvlStrCache>
                <c:ptCount val="65"/>
                <c:lvl>
                  <c:pt idx="0">
                    <c:v>碧成仁</c:v>
                  </c:pt>
                  <c:pt idx="1">
                    <c:v>东方泽惠</c:v>
                  </c:pt>
                  <c:pt idx="2">
                    <c:v>戈代芙</c:v>
                  </c:pt>
                  <c:pt idx="3">
                    <c:v>侯新</c:v>
                  </c:pt>
                  <c:pt idx="4">
                    <c:v>季晶瑶</c:v>
                  </c:pt>
                  <c:pt idx="5">
                    <c:v>敛映波</c:v>
                  </c:pt>
                  <c:pt idx="6">
                    <c:v>米经略</c:v>
                  </c:pt>
                  <c:pt idx="7">
                    <c:v>莫骞仕</c:v>
                  </c:pt>
                  <c:pt idx="8">
                    <c:v>纳小萍</c:v>
                  </c:pt>
                  <c:pt idx="9">
                    <c:v>求千雁</c:v>
                  </c:pt>
                  <c:pt idx="10">
                    <c:v>书胤运</c:v>
                  </c:pt>
                  <c:pt idx="11">
                    <c:v>睢俊逸</c:v>
                  </c:pt>
                  <c:pt idx="12">
                    <c:v>檀天逸</c:v>
                  </c:pt>
                  <c:pt idx="13">
                    <c:v>微生云露</c:v>
                  </c:pt>
                  <c:pt idx="14">
                    <c:v>伟甘雨</c:v>
                  </c:pt>
                  <c:pt idx="15">
                    <c:v>务鸿才</c:v>
                  </c:pt>
                  <c:pt idx="16">
                    <c:v>悟依波</c:v>
                  </c:pt>
                  <c:pt idx="17">
                    <c:v>冼飞光</c:v>
                  </c:pt>
                  <c:pt idx="18">
                    <c:v>萧永元</c:v>
                  </c:pt>
                  <c:pt idx="19">
                    <c:v>阳傲南</c:v>
                  </c:pt>
                  <c:pt idx="20">
                    <c:v>尧季</c:v>
                  </c:pt>
                  <c:pt idx="21">
                    <c:v>嬴陶宜</c:v>
                  </c:pt>
                  <c:pt idx="22">
                    <c:v>赵又儿</c:v>
                  </c:pt>
                  <c:pt idx="23">
                    <c:v>支胤雅</c:v>
                  </c:pt>
                  <c:pt idx="24">
                    <c:v>子车康伯</c:v>
                  </c:pt>
                  <c:pt idx="25">
                    <c:v>郸运</c:v>
                  </c:pt>
                  <c:pt idx="26">
                    <c:v>段秀隽</c:v>
                  </c:pt>
                  <c:pt idx="27">
                    <c:v>伏丽姿</c:v>
                  </c:pt>
                  <c:pt idx="28">
                    <c:v>归浩初</c:v>
                  </c:pt>
                  <c:pt idx="29">
                    <c:v>汗香柳</c:v>
                  </c:pt>
                  <c:pt idx="30">
                    <c:v>呼延忆安</c:v>
                  </c:pt>
                  <c:pt idx="31">
                    <c:v>祭雁菱</c:v>
                  </c:pt>
                  <c:pt idx="32">
                    <c:v>居香莲</c:v>
                  </c:pt>
                  <c:pt idx="33">
                    <c:v>开飞鹏</c:v>
                  </c:pt>
                  <c:pt idx="34">
                    <c:v>阚瑜璟</c:v>
                  </c:pt>
                  <c:pt idx="35">
                    <c:v>牢曼冬</c:v>
                  </c:pt>
                  <c:pt idx="36">
                    <c:v>马映天</c:v>
                  </c:pt>
                  <c:pt idx="37">
                    <c:v>墨雨星</c:v>
                  </c:pt>
                  <c:pt idx="38">
                    <c:v>南门千秋</c:v>
                  </c:pt>
                  <c:pt idx="39">
                    <c:v>欧阳小蕊</c:v>
                  </c:pt>
                  <c:pt idx="40">
                    <c:v>绳高洁</c:v>
                  </c:pt>
                  <c:pt idx="41">
                    <c:v>粟尔琴</c:v>
                  </c:pt>
                  <c:pt idx="42">
                    <c:v>郯映真</c:v>
                  </c:pt>
                  <c:pt idx="43">
                    <c:v>蔚香巧</c:v>
                  </c:pt>
                  <c:pt idx="44">
                    <c:v>邬英媛</c:v>
                  </c:pt>
                  <c:pt idx="45">
                    <c:v>五家骏</c:v>
                  </c:pt>
                  <c:pt idx="46">
                    <c:v>夏侯恨竹</c:v>
                  </c:pt>
                  <c:pt idx="47">
                    <c:v>鲜于童童</c:v>
                  </c:pt>
                  <c:pt idx="48">
                    <c:v>兴雅洁</c:v>
                  </c:pt>
                  <c:pt idx="49">
                    <c:v>徭修杰</c:v>
                  </c:pt>
                  <c:pt idx="50">
                    <c:v>宜乐音</c:v>
                  </c:pt>
                  <c:pt idx="51">
                    <c:v>祝白梅</c:v>
                  </c:pt>
                  <c:pt idx="52">
                    <c:v>卓英武</c:v>
                  </c:pt>
                  <c:pt idx="53">
                    <c:v>宗政采梦</c:v>
                  </c:pt>
                  <c:pt idx="54">
                    <c:v>左丘白凝</c:v>
                  </c:pt>
                  <c:pt idx="55">
                    <c:v>伯蕴</c:v>
                  </c:pt>
                  <c:pt idx="56">
                    <c:v>曾秀媚</c:v>
                  </c:pt>
                  <c:pt idx="57">
                    <c:v>承映雁</c:v>
                  </c:pt>
                  <c:pt idx="58">
                    <c:v>拱寒香</c:v>
                  </c:pt>
                  <c:pt idx="59">
                    <c:v>老夜云</c:v>
                  </c:pt>
                  <c:pt idx="60">
                    <c:v>闽清馨</c:v>
                  </c:pt>
                  <c:pt idx="61">
                    <c:v>邛天翰</c:v>
                  </c:pt>
                  <c:pt idx="62">
                    <c:v>司马范明</c:v>
                  </c:pt>
                  <c:pt idx="63">
                    <c:v>司琼思</c:v>
                  </c:pt>
                  <c:pt idx="64">
                    <c:v>王晓凡</c:v>
                  </c:pt>
                </c:lvl>
                <c:lvl>
                  <c:pt idx="0">
                    <c:v>3 月</c:v>
                  </c:pt>
                  <c:pt idx="25">
                    <c:v>4 月</c:v>
                  </c:pt>
                  <c:pt idx="55">
                    <c:v>5 月</c:v>
                  </c:pt>
                </c:lvl>
              </c:multiLvlStrCache>
            </c:multiLvlStrRef>
          </c:cat>
          <c:val>
            <c:numRef>
              <c:f>Sheet4!$E$2:$E$70</c:f>
              <c:numCache>
                <c:formatCode>General</c:formatCode>
                <c:ptCount val="65"/>
                <c:pt idx="0">
                  <c:v>48</c:v>
                </c:pt>
                <c:pt idx="1">
                  <c:v>96</c:v>
                </c:pt>
                <c:pt idx="2">
                  <c:v>60</c:v>
                </c:pt>
                <c:pt idx="3">
                  <c:v>0</c:v>
                </c:pt>
                <c:pt idx="4">
                  <c:v>60</c:v>
                </c:pt>
                <c:pt idx="5">
                  <c:v>120</c:v>
                </c:pt>
                <c:pt idx="6">
                  <c:v>36</c:v>
                </c:pt>
                <c:pt idx="7">
                  <c:v>72</c:v>
                </c:pt>
                <c:pt idx="8">
                  <c:v>96</c:v>
                </c:pt>
                <c:pt idx="9">
                  <c:v>48</c:v>
                </c:pt>
                <c:pt idx="10">
                  <c:v>72</c:v>
                </c:pt>
                <c:pt idx="11">
                  <c:v>108</c:v>
                </c:pt>
                <c:pt idx="12">
                  <c:v>108</c:v>
                </c:pt>
                <c:pt idx="13">
                  <c:v>60</c:v>
                </c:pt>
                <c:pt idx="14">
                  <c:v>48</c:v>
                </c:pt>
                <c:pt idx="15">
                  <c:v>24</c:v>
                </c:pt>
                <c:pt idx="16">
                  <c:v>12</c:v>
                </c:pt>
                <c:pt idx="17">
                  <c:v>72</c:v>
                </c:pt>
                <c:pt idx="18">
                  <c:v>84</c:v>
                </c:pt>
                <c:pt idx="19">
                  <c:v>108</c:v>
                </c:pt>
                <c:pt idx="20">
                  <c:v>84</c:v>
                </c:pt>
                <c:pt idx="21">
                  <c:v>96</c:v>
                </c:pt>
                <c:pt idx="22">
                  <c:v>60</c:v>
                </c:pt>
                <c:pt idx="23">
                  <c:v>96</c:v>
                </c:pt>
                <c:pt idx="24">
                  <c:v>84</c:v>
                </c:pt>
                <c:pt idx="25">
                  <c:v>48</c:v>
                </c:pt>
                <c:pt idx="26">
                  <c:v>72</c:v>
                </c:pt>
                <c:pt idx="27">
                  <c:v>36</c:v>
                </c:pt>
                <c:pt idx="28">
                  <c:v>84</c:v>
                </c:pt>
                <c:pt idx="29">
                  <c:v>120</c:v>
                </c:pt>
                <c:pt idx="30">
                  <c:v>24</c:v>
                </c:pt>
                <c:pt idx="31">
                  <c:v>48</c:v>
                </c:pt>
                <c:pt idx="32">
                  <c:v>24</c:v>
                </c:pt>
                <c:pt idx="33">
                  <c:v>48</c:v>
                </c:pt>
                <c:pt idx="34">
                  <c:v>84</c:v>
                </c:pt>
                <c:pt idx="35">
                  <c:v>108</c:v>
                </c:pt>
                <c:pt idx="36">
                  <c:v>108</c:v>
                </c:pt>
                <c:pt idx="37">
                  <c:v>60</c:v>
                </c:pt>
                <c:pt idx="38">
                  <c:v>84</c:v>
                </c:pt>
                <c:pt idx="39">
                  <c:v>36</c:v>
                </c:pt>
                <c:pt idx="40">
                  <c:v>36</c:v>
                </c:pt>
                <c:pt idx="41">
                  <c:v>12</c:v>
                </c:pt>
                <c:pt idx="42">
                  <c:v>12</c:v>
                </c:pt>
                <c:pt idx="43">
                  <c:v>0</c:v>
                </c:pt>
                <c:pt idx="44">
                  <c:v>24</c:v>
                </c:pt>
                <c:pt idx="45">
                  <c:v>120</c:v>
                </c:pt>
                <c:pt idx="46">
                  <c:v>96</c:v>
                </c:pt>
                <c:pt idx="47">
                  <c:v>84</c:v>
                </c:pt>
                <c:pt idx="48">
                  <c:v>12</c:v>
                </c:pt>
                <c:pt idx="49">
                  <c:v>60</c:v>
                </c:pt>
                <c:pt idx="50">
                  <c:v>60</c:v>
                </c:pt>
                <c:pt idx="51">
                  <c:v>84</c:v>
                </c:pt>
                <c:pt idx="52">
                  <c:v>0</c:v>
                </c:pt>
                <c:pt idx="53">
                  <c:v>72</c:v>
                </c:pt>
                <c:pt idx="54">
                  <c:v>0</c:v>
                </c:pt>
                <c:pt idx="55">
                  <c:v>72</c:v>
                </c:pt>
                <c:pt idx="56">
                  <c:v>0</c:v>
                </c:pt>
                <c:pt idx="57">
                  <c:v>0</c:v>
                </c:pt>
                <c:pt idx="58">
                  <c:v>72</c:v>
                </c:pt>
                <c:pt idx="59">
                  <c:v>120</c:v>
                </c:pt>
                <c:pt idx="60">
                  <c:v>120</c:v>
                </c:pt>
                <c:pt idx="61">
                  <c:v>36</c:v>
                </c:pt>
                <c:pt idx="62">
                  <c:v>48</c:v>
                </c:pt>
                <c:pt idx="63">
                  <c:v>24</c:v>
                </c:pt>
                <c:pt idx="6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44-47CB-A52C-DC17AD2E5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7239544"/>
        <c:axId val="987244024"/>
      </c:barChart>
      <c:catAx>
        <c:axId val="987239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7244024"/>
        <c:crosses val="autoZero"/>
        <c:auto val="1"/>
        <c:lblAlgn val="ctr"/>
        <c:lblOffset val="100"/>
        <c:noMultiLvlLbl val="0"/>
      </c:catAx>
      <c:valAx>
        <c:axId val="98724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7239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玩家总分（最终成绩）分布分析图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rPr>
            <a:t>玩家总分（最终成绩）分布分析图</a:t>
          </a:r>
        </a:p>
      </cx:txPr>
    </cx:title>
    <cx:plotArea>
      <cx:plotAreaRegion>
        <cx:series layoutId="treemap" uniqueId="{A011956B-F21A-4406-838C-B38E40157FC0}">
          <cx:tx>
            <cx:txData>
              <cx:f>_xlchart.v1.1</cx:f>
              <cx:v>游戏整体得分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533400</xdr:colOff>
          <xdr:row>11</xdr:row>
          <xdr:rowOff>47625</xdr:rowOff>
        </xdr:from>
        <xdr:to>
          <xdr:col>24</xdr:col>
          <xdr:colOff>200025</xdr:colOff>
          <xdr:row>12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 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552450</xdr:colOff>
          <xdr:row>12</xdr:row>
          <xdr:rowOff>304800</xdr:rowOff>
        </xdr:from>
        <xdr:to>
          <xdr:col>24</xdr:col>
          <xdr:colOff>209550</xdr:colOff>
          <xdr:row>13</xdr:row>
          <xdr:rowOff>533400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257175</xdr:colOff>
          <xdr:row>12</xdr:row>
          <xdr:rowOff>276225</xdr:rowOff>
        </xdr:from>
        <xdr:to>
          <xdr:col>22</xdr:col>
          <xdr:colOff>495300</xdr:colOff>
          <xdr:row>13</xdr:row>
          <xdr:rowOff>533400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238125</xdr:colOff>
          <xdr:row>12</xdr:row>
          <xdr:rowOff>228600</xdr:rowOff>
        </xdr:from>
        <xdr:to>
          <xdr:col>25</xdr:col>
          <xdr:colOff>476250</xdr:colOff>
          <xdr:row>13</xdr:row>
          <xdr:rowOff>533400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14</xdr:row>
          <xdr:rowOff>266700</xdr:rowOff>
        </xdr:from>
        <xdr:to>
          <xdr:col>25</xdr:col>
          <xdr:colOff>476250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重置游戏</a:t>
              </a:r>
            </a:p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game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323850</xdr:colOff>
      <xdr:row>3</xdr:row>
      <xdr:rowOff>361950</xdr:rowOff>
    </xdr:from>
    <xdr:to>
      <xdr:col>8</xdr:col>
      <xdr:colOff>190500</xdr:colOff>
      <xdr:row>5</xdr:row>
      <xdr:rowOff>152400</xdr:rowOff>
    </xdr:to>
    <xdr:sp macro="" textlink="">
      <xdr:nvSpPr>
        <xdr:cNvPr id="2" name="椭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1450" y="2362200"/>
          <a:ext cx="1085850" cy="1123950"/>
        </a:xfrm>
        <a:prstGeom prst="ellipse">
          <a:avLst/>
        </a:prstGeom>
        <a:noFill/>
        <a:ln w="762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381000</xdr:colOff>
      <xdr:row>10</xdr:row>
      <xdr:rowOff>457200</xdr:rowOff>
    </xdr:from>
    <xdr:to>
      <xdr:col>10</xdr:col>
      <xdr:colOff>247650</xdr:colOff>
      <xdr:row>12</xdr:row>
      <xdr:rowOff>247650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257800" y="7124700"/>
          <a:ext cx="1085850" cy="1123950"/>
        </a:xfrm>
        <a:prstGeom prst="ellipse">
          <a:avLst/>
        </a:prstGeom>
        <a:noFill/>
        <a:ln w="762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209550</xdr:colOff>
          <xdr:row>8</xdr:row>
          <xdr:rowOff>400050</xdr:rowOff>
        </xdr:from>
        <xdr:to>
          <xdr:col>25</xdr:col>
          <xdr:colOff>476250</xdr:colOff>
          <xdr:row>10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4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进行考试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95250</xdr:colOff>
          <xdr:row>5</xdr:row>
          <xdr:rowOff>171450</xdr:rowOff>
        </xdr:from>
        <xdr:to>
          <xdr:col>47</xdr:col>
          <xdr:colOff>495300</xdr:colOff>
          <xdr:row>6</xdr:row>
          <xdr:rowOff>495300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购买并使用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95250</xdr:colOff>
          <xdr:row>8</xdr:row>
          <xdr:rowOff>171450</xdr:rowOff>
        </xdr:from>
        <xdr:to>
          <xdr:col>47</xdr:col>
          <xdr:colOff>495300</xdr:colOff>
          <xdr:row>9</xdr:row>
          <xdr:rowOff>495300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购买并使用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95250</xdr:colOff>
          <xdr:row>11</xdr:row>
          <xdr:rowOff>171450</xdr:rowOff>
        </xdr:from>
        <xdr:to>
          <xdr:col>47</xdr:col>
          <xdr:colOff>495300</xdr:colOff>
          <xdr:row>12</xdr:row>
          <xdr:rowOff>495300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购买并使用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95250</xdr:colOff>
          <xdr:row>14</xdr:row>
          <xdr:rowOff>171450</xdr:rowOff>
        </xdr:from>
        <xdr:to>
          <xdr:col>47</xdr:col>
          <xdr:colOff>495300</xdr:colOff>
          <xdr:row>15</xdr:row>
          <xdr:rowOff>495300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购买并使用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95250</xdr:colOff>
          <xdr:row>17</xdr:row>
          <xdr:rowOff>171450</xdr:rowOff>
        </xdr:from>
        <xdr:to>
          <xdr:col>47</xdr:col>
          <xdr:colOff>495300</xdr:colOff>
          <xdr:row>18</xdr:row>
          <xdr:rowOff>495300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购买并使用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95250</xdr:colOff>
          <xdr:row>17</xdr:row>
          <xdr:rowOff>171450</xdr:rowOff>
        </xdr:from>
        <xdr:to>
          <xdr:col>47</xdr:col>
          <xdr:colOff>495300</xdr:colOff>
          <xdr:row>18</xdr:row>
          <xdr:rowOff>495300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购买并使用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285750</xdr:colOff>
          <xdr:row>11</xdr:row>
          <xdr:rowOff>457200</xdr:rowOff>
        </xdr:from>
        <xdr:to>
          <xdr:col>36</xdr:col>
          <xdr:colOff>381000</xdr:colOff>
          <xdr:row>12</xdr:row>
          <xdr:rowOff>419100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隐藏商城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285750</xdr:colOff>
          <xdr:row>10</xdr:row>
          <xdr:rowOff>285750</xdr:rowOff>
        </xdr:from>
        <xdr:to>
          <xdr:col>36</xdr:col>
          <xdr:colOff>381000</xdr:colOff>
          <xdr:row>11</xdr:row>
          <xdr:rowOff>247650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打开商城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4</xdr:row>
      <xdr:rowOff>47624</xdr:rowOff>
    </xdr:from>
    <xdr:to>
      <xdr:col>5</xdr:col>
      <xdr:colOff>438150</xdr:colOff>
      <xdr:row>20</xdr:row>
      <xdr:rowOff>114299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628649</xdr:colOff>
      <xdr:row>26</xdr:row>
      <xdr:rowOff>47625</xdr:rowOff>
    </xdr:from>
    <xdr:to>
      <xdr:col>4</xdr:col>
      <xdr:colOff>123825</xdr:colOff>
      <xdr:row>43</xdr:row>
      <xdr:rowOff>171449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380999</xdr:colOff>
      <xdr:row>2</xdr:row>
      <xdr:rowOff>66675</xdr:rowOff>
    </xdr:from>
    <xdr:to>
      <xdr:col>19</xdr:col>
      <xdr:colOff>537883</xdr:colOff>
      <xdr:row>15</xdr:row>
      <xdr:rowOff>67235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352424</xdr:colOff>
      <xdr:row>18</xdr:row>
      <xdr:rowOff>28575</xdr:rowOff>
    </xdr:from>
    <xdr:to>
      <xdr:col>15</xdr:col>
      <xdr:colOff>285750</xdr:colOff>
      <xdr:row>39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图表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96324" y="3286125"/>
              <a:ext cx="6105526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542802</xdr:colOff>
      <xdr:row>18</xdr:row>
      <xdr:rowOff>133551</xdr:rowOff>
    </xdr:from>
    <xdr:to>
      <xdr:col>24</xdr:col>
      <xdr:colOff>148504</xdr:colOff>
      <xdr:row>63</xdr:row>
      <xdr:rowOff>123658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86182" refreshedDate="44263.668142939816" backgroundQuery="1" createdVersion="6" refreshedVersion="6" minRefreshableVersion="3" recordCount="0" supportSubquery="1" supportAdvancedDrill="1" xr:uid="{4BE7B357-FF84-41D3-9E74-0CCDE3EA8749}">
  <cacheSource type="external" connectionId="1"/>
  <cacheFields count="6">
    <cacheField name="[区域].[游戏时间 (月)].[游戏时间 (月)]" caption="游戏时间 (月)" numFmtId="0" hierarchy="21" level="1">
      <sharedItems count="3">
        <s v="3 月"/>
        <s v="4 月"/>
        <s v="5 月"/>
      </sharedItems>
    </cacheField>
    <cacheField name="[区域].[玩家姓名].[玩家姓名]" caption="玩家姓名" numFmtId="0" level="1">
      <sharedItems count="65">
        <s v="碧成仁"/>
        <s v="东方泽惠"/>
        <s v="戈代芙"/>
        <s v="侯新"/>
        <s v="季晶瑶"/>
        <s v="敛映波"/>
        <s v="米经略"/>
        <s v="莫骞仕"/>
        <s v="纳小萍"/>
        <s v="求千雁"/>
        <s v="书胤运"/>
        <s v="睢俊逸"/>
        <s v="檀天逸"/>
        <s v="微生云露"/>
        <s v="伟甘雨"/>
        <s v="务鸿才"/>
        <s v="悟依波"/>
        <s v="冼飞光"/>
        <s v="萧永元"/>
        <s v="阳傲南"/>
        <s v="尧季"/>
        <s v="嬴陶宜"/>
        <s v="赵又儿"/>
        <s v="支胤雅"/>
        <s v="子车康伯"/>
        <s v="郸运"/>
        <s v="段秀隽"/>
        <s v="伏丽姿"/>
        <s v="归浩初"/>
        <s v="汗香柳"/>
        <s v="呼延忆安"/>
        <s v="祭雁菱"/>
        <s v="居香莲"/>
        <s v="开飞鹏"/>
        <s v="阚瑜璟"/>
        <s v="牢曼冬"/>
        <s v="马映天"/>
        <s v="墨雨星"/>
        <s v="南门千秋"/>
        <s v="欧阳小蕊"/>
        <s v="绳高洁"/>
        <s v="粟尔琴"/>
        <s v="郯映真"/>
        <s v="蔚香巧"/>
        <s v="邬英媛"/>
        <s v="五家骏"/>
        <s v="夏侯恨竹"/>
        <s v="鲜于童童"/>
        <s v="兴雅洁"/>
        <s v="徭修杰"/>
        <s v="宜乐音"/>
        <s v="祝白梅"/>
        <s v="卓英武"/>
        <s v="宗政采梦"/>
        <s v="左丘白凝"/>
        <s v="伯蕴"/>
        <s v="曾秀媚"/>
        <s v="承映雁"/>
        <s v="拱寒香"/>
        <s v="老夜云"/>
        <s v="闽清馨"/>
        <s v="邛天翰"/>
        <s v="司马范明"/>
        <s v="司琼思"/>
        <s v="王晓凡"/>
      </sharedItems>
    </cacheField>
    <cacheField name="[Measures].[以下项目的总和:总收入]" caption="以下项目的总和:总收入" numFmtId="0" hierarchy="29" level="32767"/>
    <cacheField name="[Measures].[以下项目的总和:b类药水充值收入]" caption="以下项目的总和:b类药水充值收入" numFmtId="0" hierarchy="28" level="32767"/>
    <cacheField name="[Measures].[以下项目的总和:a类药水充值收入]" caption="以下项目的总和:a类药水充值收入" numFmtId="0" hierarchy="27" level="32767"/>
    <cacheField name="[Measures].[以下项目的总和:移动点数充值收入]" caption="以下项目的总和:移动点数充值收入" numFmtId="0" hierarchy="26" level="32767"/>
  </cacheFields>
  <cacheHierarchies count="30">
    <cacheHierarchy uniqueName="[区域].[玩家姓名]" caption="玩家姓名" attribute="1" defaultMemberUniqueName="[区域].[玩家姓名].[All]" allUniqueName="[区域].[玩家姓名].[All]" dimensionUniqueName="[区域]" displayFolder="" count="2" memberValueDatatype="130" unbalanced="0">
      <fieldsUsage count="2">
        <fieldUsage x="-1"/>
        <fieldUsage x="1"/>
      </fieldsUsage>
    </cacheHierarchy>
    <cacheHierarchy uniqueName="[区域].[游戏时间]" caption="游戏时间" attribute="1" time="1" defaultMemberUniqueName="[区域].[游戏时间].[All]" allUniqueName="[区域].[游戏时间].[All]" dimensionUniqueName="[区域]" displayFolder="" count="2" memberValueDatatype="7" unbalanced="0"/>
    <cacheHierarchy uniqueName="[区域].[游戏整体得分]" caption="游戏整体得分" attribute="1" defaultMemberUniqueName="[区域].[游戏整体得分].[All]" allUniqueName="[区域].[游戏整体得分].[All]" dimensionUniqueName="[区域]" displayFolder="" count="0" memberValueDatatype="5" unbalanced="0"/>
    <cacheHierarchy uniqueName="[区域].[结束时玩家品德]" caption="结束时玩家品德" attribute="1" defaultMemberUniqueName="[区域].[结束时玩家品德].[All]" allUniqueName="[区域].[结束时玩家品德].[All]" dimensionUniqueName="[区域]" displayFolder="" count="0" memberValueDatatype="5" unbalanced="0"/>
    <cacheHierarchy uniqueName="[区域].[结束时玩家智力]" caption="结束时玩家智力" attribute="1" defaultMemberUniqueName="[区域].[结束时玩家智力].[All]" allUniqueName="[区域].[结束时玩家智力].[All]" dimensionUniqueName="[区域]" displayFolder="" count="0" memberValueDatatype="5" unbalanced="0"/>
    <cacheHierarchy uniqueName="[区域].[结束时玩家体力]" caption="结束时玩家体力" attribute="1" defaultMemberUniqueName="[区域].[结束时玩家体力].[All]" allUniqueName="[区域].[结束时玩家体力].[All]" dimensionUniqueName="[区域]" displayFolder="" count="0" memberValueDatatype="5" unbalanced="0"/>
    <cacheHierarchy uniqueName="[区域].[结束时玩家审美]" caption="结束时玩家审美" attribute="1" defaultMemberUniqueName="[区域].[结束时玩家审美].[All]" allUniqueName="[区域].[结束时玩家审美].[All]" dimensionUniqueName="[区域]" displayFolder="" count="0" memberValueDatatype="5" unbalanced="0"/>
    <cacheHierarchy uniqueName="[区域].[结束时玩家劳动能力]" caption="结束时玩家劳动能力" attribute="1" defaultMemberUniqueName="[区域].[结束时玩家劳动能力].[All]" allUniqueName="[区域].[结束时玩家劳动能力].[All]" dimensionUniqueName="[区域]" displayFolder="" count="0" memberValueDatatype="5" unbalanced="0"/>
    <cacheHierarchy uniqueName="[区域].[移动点数充值次数]" caption="移动点数充值次数" attribute="1" defaultMemberUniqueName="[区域].[移动点数充值次数].[All]" allUniqueName="[区域].[移动点数充值次数].[All]" dimensionUniqueName="[区域]" displayFolder="" count="2" memberValueDatatype="130" unbalanced="0"/>
    <cacheHierarchy uniqueName="[区域].[品德智力药水使用次数]" caption="品德智力药水使用次数" attribute="1" defaultMemberUniqueName="[区域].[品德智力药水使用次数].[All]" allUniqueName="[区域].[品德智力药水使用次数].[All]" dimensionUniqueName="[区域]" displayFolder="" count="2" memberValueDatatype="130" unbalanced="0"/>
    <cacheHierarchy uniqueName="[区域].[体力审美药水使用次数]" caption="体力审美药水使用次数" attribute="1" defaultMemberUniqueName="[区域].[体力审美药水使用次数].[All]" allUniqueName="[区域].[体力审美药水使用次数].[All]" dimensionUniqueName="[区域]" displayFolder="" count="2" memberValueDatatype="130" unbalanced="0"/>
    <cacheHierarchy uniqueName="[区域].[移动点数充值收入]" caption="移动点数充值收入" attribute="1" defaultMemberUniqueName="[区域].[移动点数充值收入].[All]" allUniqueName="[区域].[移动点数充值收入].[All]" dimensionUniqueName="[区域]" displayFolder="" count="0" memberValueDatatype="20" unbalanced="0"/>
    <cacheHierarchy uniqueName="[区域].[a类药水充值收入]" caption="a类药水充值收入" attribute="1" defaultMemberUniqueName="[区域].[a类药水充值收入].[All]" allUniqueName="[区域].[a类药水充值收入].[All]" dimensionUniqueName="[区域]" displayFolder="" count="0" memberValueDatatype="20" unbalanced="0"/>
    <cacheHierarchy uniqueName="[区域].[b类药水充值收入]" caption="b类药水充值收入" attribute="1" defaultMemberUniqueName="[区域].[b类药水充值收入].[All]" allUniqueName="[区域].[b类药水充值收入].[All]" dimensionUniqueName="[区域]" displayFolder="" count="0" memberValueDatatype="20" unbalanced="0"/>
    <cacheHierarchy uniqueName="[区域].[总收入]" caption="总收入" attribute="1" defaultMemberUniqueName="[区域].[总收入].[All]" allUniqueName="[区域].[总收入].[All]" dimensionUniqueName="[区域]" displayFolder="" count="0" memberValueDatatype="20" unbalanced="0"/>
    <cacheHierarchy uniqueName="[区域].[玩家游戏体验评价]" caption="玩家游戏体验评价" attribute="1" defaultMemberUniqueName="[区域].[玩家游戏体验评价].[All]" allUniqueName="[区域].[玩家游戏体验评价].[All]" dimensionUniqueName="[区域]" displayFolder="" count="0" memberValueDatatype="20" unbalanced="0"/>
    <cacheHierarchy uniqueName="[区域].[是否探索了五号宿舍楼]" caption="是否探索了五号宿舍楼" attribute="1" defaultMemberUniqueName="[区域].[是否探索了五号宿舍楼].[All]" allUniqueName="[区域].[是否探索了五号宿舍楼].[All]" dimensionUniqueName="[区域]" displayFolder="" count="2" memberValueDatatype="130" unbalanced="0"/>
    <cacheHierarchy uniqueName="[区域].[是否探索了一食堂]" caption="是否探索了一食堂" attribute="1" defaultMemberUniqueName="[区域].[是否探索了一食堂].[All]" allUniqueName="[区域].[是否探索了一食堂].[All]" dimensionUniqueName="[区域]" displayFolder="" count="2" memberValueDatatype="130" unbalanced="0"/>
    <cacheHierarchy uniqueName="[区域].[是否探索了文达楼]" caption="是否探索了文达楼" attribute="1" defaultMemberUniqueName="[区域].[是否探索了文达楼].[All]" allUniqueName="[区域].[是否探索了文达楼].[All]" dimensionUniqueName="[区域]" displayFolder="" count="2" memberValueDatatype="130" unbalanced="0"/>
    <cacheHierarchy uniqueName="[区域].[是否探索了足球场]" caption="是否探索了足球场" attribute="1" defaultMemberUniqueName="[区域].[是否探索了足球场].[All]" allUniqueName="[区域].[是否探索了足球场].[All]" dimensionUniqueName="[区域]" displayFolder="" count="2" memberValueDatatype="130" unbalanced="0"/>
    <cacheHierarchy uniqueName="[区域].[是否探索了文德楼]" caption="是否探索了文德楼" attribute="1" defaultMemberUniqueName="[区域].[是否探索了文德楼].[All]" allUniqueName="[区域].[是否探索了文德楼].[All]" dimensionUniqueName="[区域]" displayFolder="" count="2" memberValueDatatype="130" unbalanced="0"/>
    <cacheHierarchy uniqueName="[区域].[游戏时间 (月)]" caption="游戏时间 (月)" attribute="1" defaultMemberUniqueName="[区域].[游戏时间 (月)].[All]" allUniqueName="[区域].[游戏时间 (月)].[All]" dimensionUniqueName="[区域]" displayFolder="" count="2" memberValueDatatype="130" unbalanced="0">
      <fieldsUsage count="2">
        <fieldUsage x="-1"/>
        <fieldUsage x="0"/>
      </fieldsUsage>
    </cacheHierarchy>
    <cacheHierarchy uniqueName="[区域].[游戏时间 (月索引)]" caption="游戏时间 (月索引)" attribute="1" defaultMemberUniqueName="[区域].[游戏时间 (月索引)].[All]" allUniqueName="[区域].[游戏时间 (月索引)].[All]" dimensionUniqueName="[区域]" displayFolder="" count="0" memberValueDatatype="20" unbalanced="0" hidden="1"/>
    <cacheHierarchy uniqueName="[Measures].[__XL_Count 区域]" caption="__XL_Count 区域" measure="1" displayFolder="" measureGroup="区域" count="0" hidden="1"/>
    <cacheHierarchy uniqueName="[Measures].[__No measures defined]" caption="__No measures defined" measure="1" displayFolder="" count="0" hidden="1"/>
    <cacheHierarchy uniqueName="[Measures].[以下项目的总和:结束时玩家品德]" caption="以下项目的总和:结束时玩家品德" measure="1" displayFolder="" measureGroup="区域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以下项目的总和:移动点数充值收入]" caption="以下项目的总和:移动点数充值收入" measure="1" displayFolder="" measureGroup="区域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以下项目的总和:a类药水充值收入]" caption="以下项目的总和:a类药水充值收入" measure="1" displayFolder="" measureGroup="区域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以下项目的总和:b类药水充值收入]" caption="以下项目的总和:b类药水充值收入" measure="1" displayFolder="" measureGroup="区域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以下项目的总和:总收入]" caption="以下项目的总和:总收入" measure="1" displayFolder="" measureGroup="区域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measure="1" name="Measures" uniqueName="[Measures]" caption="Measures"/>
    <dimension name="区域" uniqueName="[区域]" caption="区域"/>
  </dimensions>
  <measureGroups count="1">
    <measureGroup name="区域" caption="区域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1EEEF6-0304-421D-AA15-35BA523C6ED5}" name="数据透视表1" cacheId="102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">
  <location ref="A1:E70" firstHeaderRow="0" firstDataRow="1" firstDataCol="1"/>
  <pivotFields count="6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axis="axisRow" allDrilled="1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6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>
      <x v="1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>
      <x v="2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以下项目的总和:总收入" fld="2" baseField="0" baseItem="0"/>
    <dataField name="以下项目的总和:b类药水充值收入" fld="3" baseField="0" baseItem="0"/>
    <dataField name="以下项目的总和:a类药水充值收入" fld="4" baseField="0" baseItem="0"/>
    <dataField name="以下项目的总和:移动点数充值收入" fld="5" baseField="0" baseItem="0"/>
  </dataFields>
  <chartFormats count="4">
    <chartFormat chart="0" format="58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8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8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590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2!$A$1:$U$66">
        <x15:activeTabTopLevelEntity name="[区域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DAE3F-7E9C-4A58-9D59-E57891F38651}">
  <sheetPr codeName="Sheet1"/>
  <dimension ref="A1:AV27"/>
  <sheetViews>
    <sheetView tabSelected="1" zoomScale="45" zoomScaleNormal="45" workbookViewId="0">
      <selection activeCell="R21" sqref="R21"/>
    </sheetView>
  </sheetViews>
  <sheetFormatPr defaultColWidth="8.875" defaultRowHeight="52.15" customHeight="1" x14ac:dyDescent="0.2"/>
  <cols>
    <col min="1" max="38" width="8.875" style="2"/>
    <col min="39" max="48" width="8.875" style="2" customWidth="1"/>
    <col min="49" max="16384" width="8.875" style="2"/>
  </cols>
  <sheetData>
    <row r="1" spans="1:48" ht="52.15" customHeight="1" x14ac:dyDescent="0.2">
      <c r="A1" s="38" t="s">
        <v>41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M1" s="86" t="s">
        <v>24</v>
      </c>
      <c r="AN1" s="87"/>
      <c r="AO1" s="87"/>
      <c r="AP1" s="87"/>
      <c r="AQ1" s="87"/>
      <c r="AR1" s="87"/>
      <c r="AS1" s="87"/>
      <c r="AT1" s="87"/>
      <c r="AU1" s="87"/>
      <c r="AV1" s="88"/>
    </row>
    <row r="2" spans="1:48" ht="52.15" customHeight="1" x14ac:dyDescent="0.2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M2" s="86"/>
      <c r="AN2" s="87"/>
      <c r="AO2" s="87"/>
      <c r="AP2" s="87"/>
      <c r="AQ2" s="87"/>
      <c r="AR2" s="87"/>
      <c r="AS2" s="87"/>
      <c r="AT2" s="87"/>
      <c r="AU2" s="87"/>
      <c r="AV2" s="88"/>
    </row>
    <row r="3" spans="1:48" ht="52.15" customHeight="1" x14ac:dyDescent="0.2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M3" s="89" t="s">
        <v>36</v>
      </c>
      <c r="AN3" s="90"/>
      <c r="AO3" s="90"/>
      <c r="AP3" s="90"/>
      <c r="AQ3" s="90"/>
      <c r="AR3" s="90"/>
      <c r="AS3" s="90"/>
      <c r="AT3" s="90"/>
      <c r="AU3" s="90"/>
      <c r="AV3" s="91"/>
    </row>
    <row r="4" spans="1:48" ht="52.1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M4" s="89"/>
      <c r="AN4" s="90"/>
      <c r="AO4" s="90"/>
      <c r="AP4" s="90"/>
      <c r="AQ4" s="90"/>
      <c r="AR4" s="90"/>
      <c r="AS4" s="90"/>
      <c r="AT4" s="90"/>
      <c r="AU4" s="90"/>
      <c r="AV4" s="91"/>
    </row>
    <row r="5" spans="1:48" ht="52.15" customHeight="1" x14ac:dyDescent="0.2">
      <c r="A5" s="3"/>
      <c r="B5" s="3"/>
      <c r="C5" s="3"/>
      <c r="D5" s="3"/>
      <c r="E5" s="3"/>
      <c r="F5" s="3"/>
      <c r="G5" s="5"/>
      <c r="H5" s="5" t="s">
        <v>0</v>
      </c>
      <c r="I5" s="5" t="s">
        <v>0</v>
      </c>
      <c r="J5" s="5" t="s">
        <v>0</v>
      </c>
      <c r="K5" s="5" t="s">
        <v>0</v>
      </c>
      <c r="L5" s="5" t="s">
        <v>0</v>
      </c>
      <c r="M5" s="5" t="s">
        <v>0</v>
      </c>
      <c r="N5" s="5" t="s">
        <v>0</v>
      </c>
      <c r="O5" s="5" t="s">
        <v>0</v>
      </c>
      <c r="P5" s="5" t="s">
        <v>0</v>
      </c>
      <c r="Q5" s="5" t="s">
        <v>0</v>
      </c>
      <c r="R5" s="5" t="s">
        <v>1</v>
      </c>
      <c r="S5" s="3"/>
      <c r="T5" s="3"/>
      <c r="U5" s="3"/>
      <c r="V5" s="3"/>
      <c r="W5" s="3"/>
      <c r="X5" s="3"/>
      <c r="Y5" s="3"/>
      <c r="Z5" s="3"/>
      <c r="AA5" s="1"/>
      <c r="AB5" s="56" t="s">
        <v>22</v>
      </c>
      <c r="AC5" s="57"/>
      <c r="AD5" s="57"/>
      <c r="AE5" s="57"/>
      <c r="AF5" s="57"/>
      <c r="AG5" s="57"/>
      <c r="AH5" s="57"/>
      <c r="AI5" s="57"/>
      <c r="AJ5" s="57"/>
      <c r="AK5" s="58"/>
      <c r="AM5" s="15" t="s">
        <v>25</v>
      </c>
      <c r="AN5" s="15" t="s">
        <v>25</v>
      </c>
      <c r="AO5" s="15" t="s">
        <v>25</v>
      </c>
      <c r="AP5" s="15" t="s">
        <v>25</v>
      </c>
      <c r="AQ5" s="15" t="s">
        <v>25</v>
      </c>
      <c r="AR5" s="15" t="s">
        <v>25</v>
      </c>
      <c r="AS5" s="15" t="s">
        <v>25</v>
      </c>
      <c r="AT5" s="15" t="s">
        <v>25</v>
      </c>
      <c r="AU5" s="15" t="s">
        <v>25</v>
      </c>
      <c r="AV5" s="15" t="s">
        <v>25</v>
      </c>
    </row>
    <row r="6" spans="1:48" ht="52.1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 t="s">
        <v>23</v>
      </c>
      <c r="K6" s="3"/>
      <c r="L6" s="3"/>
      <c r="M6" s="5"/>
      <c r="N6" s="3"/>
      <c r="O6" s="3"/>
      <c r="P6" s="3"/>
      <c r="Q6" s="3"/>
      <c r="R6" s="5" t="s">
        <v>1</v>
      </c>
      <c r="S6" s="3"/>
      <c r="T6" s="3"/>
      <c r="U6" s="3"/>
      <c r="V6" s="3"/>
      <c r="W6" s="3"/>
      <c r="X6" s="3"/>
      <c r="Y6" s="3"/>
      <c r="Z6" s="3"/>
      <c r="AA6" s="1"/>
      <c r="AB6" s="59"/>
      <c r="AC6" s="60"/>
      <c r="AD6" s="60"/>
      <c r="AE6" s="60"/>
      <c r="AF6" s="60"/>
      <c r="AG6" s="60"/>
      <c r="AH6" s="60"/>
      <c r="AI6" s="60"/>
      <c r="AJ6" s="60"/>
      <c r="AK6" s="61"/>
      <c r="AM6" s="101" t="s">
        <v>32</v>
      </c>
      <c r="AN6" s="102"/>
      <c r="AO6" s="103"/>
      <c r="AP6" s="20" t="s">
        <v>27</v>
      </c>
      <c r="AQ6" s="21"/>
      <c r="AR6" s="21"/>
      <c r="AS6" s="22"/>
      <c r="AT6" s="23"/>
      <c r="AU6" s="24"/>
      <c r="AV6" s="25"/>
    </row>
    <row r="7" spans="1:48" ht="52.15" customHeight="1" x14ac:dyDescent="0.2">
      <c r="A7" s="3"/>
      <c r="B7" s="6"/>
      <c r="C7" s="11"/>
      <c r="D7" s="6"/>
      <c r="E7" s="3"/>
      <c r="F7" s="3"/>
      <c r="G7" s="3"/>
      <c r="H7" s="3"/>
      <c r="I7" s="3"/>
      <c r="J7" s="5" t="s">
        <v>1</v>
      </c>
      <c r="K7" s="5" t="s">
        <v>0</v>
      </c>
      <c r="L7" s="5" t="s">
        <v>0</v>
      </c>
      <c r="M7" s="5" t="s">
        <v>0</v>
      </c>
      <c r="N7" s="5" t="s">
        <v>26</v>
      </c>
      <c r="O7" s="5" t="s">
        <v>0</v>
      </c>
      <c r="P7" s="5" t="s">
        <v>113</v>
      </c>
      <c r="Q7" s="5" t="s">
        <v>0</v>
      </c>
      <c r="R7" s="5" t="s">
        <v>0</v>
      </c>
      <c r="S7" s="3"/>
      <c r="T7" s="3"/>
      <c r="U7" s="3"/>
      <c r="V7" s="3"/>
      <c r="W7" s="3"/>
      <c r="X7" s="3"/>
      <c r="Y7" s="3"/>
      <c r="Z7" s="3"/>
      <c r="AA7" s="1"/>
      <c r="AB7" s="62"/>
      <c r="AC7" s="63"/>
      <c r="AD7" s="63"/>
      <c r="AE7" s="63"/>
      <c r="AF7" s="63"/>
      <c r="AG7" s="63"/>
      <c r="AH7" s="63"/>
      <c r="AI7" s="63"/>
      <c r="AJ7" s="63"/>
      <c r="AK7" s="64"/>
      <c r="AM7" s="104"/>
      <c r="AN7" s="105"/>
      <c r="AO7" s="106"/>
      <c r="AP7" s="29" t="s">
        <v>28</v>
      </c>
      <c r="AQ7" s="30"/>
      <c r="AR7" s="30"/>
      <c r="AS7" s="31"/>
      <c r="AT7" s="26"/>
      <c r="AU7" s="27"/>
      <c r="AV7" s="28"/>
    </row>
    <row r="8" spans="1:48" ht="52.15" customHeight="1" x14ac:dyDescent="0.2">
      <c r="A8" s="3"/>
      <c r="B8" s="11"/>
      <c r="C8" s="11"/>
      <c r="D8" s="11"/>
      <c r="E8" s="3"/>
      <c r="F8" s="3"/>
      <c r="G8" s="3"/>
      <c r="H8" s="3"/>
      <c r="I8" s="3"/>
      <c r="J8" s="5" t="s">
        <v>1</v>
      </c>
      <c r="K8" s="7"/>
      <c r="L8" s="5" t="s">
        <v>0</v>
      </c>
      <c r="M8" s="12" t="s">
        <v>8</v>
      </c>
      <c r="N8" s="5" t="s">
        <v>26</v>
      </c>
      <c r="O8" s="5"/>
      <c r="P8" s="5" t="s">
        <v>113</v>
      </c>
      <c r="Q8" s="7" t="s">
        <v>11</v>
      </c>
      <c r="R8" s="5" t="s">
        <v>0</v>
      </c>
      <c r="S8" s="3"/>
      <c r="T8" s="3"/>
      <c r="U8" s="3"/>
      <c r="V8" s="3"/>
      <c r="W8" s="3"/>
      <c r="X8" s="3"/>
      <c r="Y8" s="3"/>
      <c r="Z8" s="3"/>
      <c r="AA8" s="1"/>
      <c r="AB8" s="84" t="s">
        <v>2</v>
      </c>
      <c r="AC8" s="85"/>
      <c r="AD8" s="84" t="s">
        <v>3</v>
      </c>
      <c r="AE8" s="85"/>
      <c r="AF8" s="84" t="s">
        <v>4</v>
      </c>
      <c r="AG8" s="85"/>
      <c r="AH8" s="84" t="s">
        <v>5</v>
      </c>
      <c r="AI8" s="85"/>
      <c r="AJ8" s="84" t="s">
        <v>6</v>
      </c>
      <c r="AK8" s="85"/>
      <c r="AM8" s="107"/>
      <c r="AN8" s="108"/>
      <c r="AO8" s="109"/>
      <c r="AP8" s="32"/>
      <c r="AQ8" s="33"/>
      <c r="AR8" s="33"/>
      <c r="AS8" s="34"/>
      <c r="AT8" s="35" t="s">
        <v>29</v>
      </c>
      <c r="AU8" s="36"/>
      <c r="AV8" s="16"/>
    </row>
    <row r="9" spans="1:48" ht="52.15" customHeight="1" x14ac:dyDescent="0.2">
      <c r="A9" s="3"/>
      <c r="B9" s="3"/>
      <c r="C9" s="3"/>
      <c r="D9" s="11"/>
      <c r="E9" s="3"/>
      <c r="F9" s="3"/>
      <c r="G9" s="3"/>
      <c r="H9" s="3"/>
      <c r="I9" s="4"/>
      <c r="J9" s="5" t="s">
        <v>1</v>
      </c>
      <c r="K9" s="3"/>
      <c r="L9" s="5" t="s">
        <v>0</v>
      </c>
      <c r="M9" s="5" t="s">
        <v>0</v>
      </c>
      <c r="N9" s="5" t="s">
        <v>38</v>
      </c>
      <c r="O9" s="5" t="s">
        <v>0</v>
      </c>
      <c r="P9" s="5" t="s">
        <v>113</v>
      </c>
      <c r="Q9" s="3"/>
      <c r="R9" s="5" t="s">
        <v>0</v>
      </c>
      <c r="S9" s="3"/>
      <c r="T9" s="3"/>
      <c r="U9" s="3"/>
      <c r="V9" s="3"/>
      <c r="W9" s="3"/>
      <c r="X9" s="3"/>
      <c r="Y9" s="3"/>
      <c r="Z9" s="3"/>
      <c r="AA9" s="1"/>
      <c r="AB9" s="40">
        <v>10</v>
      </c>
      <c r="AC9" s="41"/>
      <c r="AD9" s="40">
        <v>10</v>
      </c>
      <c r="AE9" s="41"/>
      <c r="AF9" s="40">
        <v>10</v>
      </c>
      <c r="AG9" s="41"/>
      <c r="AH9" s="40">
        <v>10</v>
      </c>
      <c r="AI9" s="41"/>
      <c r="AJ9" s="40">
        <v>10</v>
      </c>
      <c r="AK9" s="41"/>
      <c r="AM9" s="110" t="s">
        <v>30</v>
      </c>
      <c r="AN9" s="102"/>
      <c r="AO9" s="103"/>
      <c r="AP9" s="20" t="s">
        <v>27</v>
      </c>
      <c r="AQ9" s="21"/>
      <c r="AR9" s="21"/>
      <c r="AS9" s="22"/>
      <c r="AT9" s="23"/>
      <c r="AU9" s="24"/>
      <c r="AV9" s="25"/>
    </row>
    <row r="10" spans="1:48" ht="52.15" customHeight="1" x14ac:dyDescent="0.2">
      <c r="A10" s="3"/>
      <c r="B10" s="3"/>
      <c r="C10" s="3"/>
      <c r="D10" s="3"/>
      <c r="E10" s="3"/>
      <c r="F10" s="3"/>
      <c r="G10" s="3"/>
      <c r="H10" s="3"/>
      <c r="I10" s="3"/>
      <c r="J10" s="5" t="s">
        <v>0</v>
      </c>
      <c r="K10" s="5" t="s">
        <v>0</v>
      </c>
      <c r="L10" s="5" t="s">
        <v>0</v>
      </c>
      <c r="M10" s="5"/>
      <c r="N10" s="5" t="s">
        <v>38</v>
      </c>
      <c r="O10" s="5"/>
      <c r="P10" s="5" t="s">
        <v>113</v>
      </c>
      <c r="Q10" s="5"/>
      <c r="R10" s="5" t="s">
        <v>0</v>
      </c>
      <c r="S10" s="5"/>
      <c r="T10" s="5"/>
      <c r="U10" s="3"/>
      <c r="V10" s="3"/>
      <c r="W10" s="3"/>
      <c r="X10" s="3"/>
      <c r="Y10" s="3"/>
      <c r="Z10" s="3"/>
      <c r="AA10" s="1"/>
      <c r="AB10" s="42"/>
      <c r="AC10" s="43"/>
      <c r="AD10" s="42"/>
      <c r="AE10" s="43"/>
      <c r="AF10" s="42"/>
      <c r="AG10" s="43"/>
      <c r="AH10" s="42"/>
      <c r="AI10" s="43"/>
      <c r="AJ10" s="42"/>
      <c r="AK10" s="43"/>
      <c r="AM10" s="104"/>
      <c r="AN10" s="105"/>
      <c r="AO10" s="106"/>
      <c r="AP10" s="29" t="s">
        <v>43</v>
      </c>
      <c r="AQ10" s="30"/>
      <c r="AR10" s="30"/>
      <c r="AS10" s="31"/>
      <c r="AT10" s="26"/>
      <c r="AU10" s="27"/>
      <c r="AV10" s="28"/>
    </row>
    <row r="11" spans="1:48" ht="52.15" customHeight="1" x14ac:dyDescent="0.2">
      <c r="A11" s="3"/>
      <c r="B11" s="3"/>
      <c r="C11" s="3"/>
      <c r="D11" s="3"/>
      <c r="E11" s="3"/>
      <c r="F11" s="3"/>
      <c r="G11" s="3"/>
      <c r="H11" s="3"/>
      <c r="I11" s="3"/>
      <c r="J11" s="12"/>
      <c r="K11" s="3"/>
      <c r="L11" s="3"/>
      <c r="M11" s="12" t="s">
        <v>9</v>
      </c>
      <c r="N11" s="5" t="s">
        <v>26</v>
      </c>
      <c r="O11" s="12" t="s">
        <v>10</v>
      </c>
      <c r="P11" s="5" t="s">
        <v>113</v>
      </c>
      <c r="Q11" s="3"/>
      <c r="R11" s="5" t="s">
        <v>0</v>
      </c>
      <c r="S11" s="3"/>
      <c r="T11" s="3"/>
      <c r="U11" s="3"/>
      <c r="V11" s="3"/>
      <c r="W11" s="3"/>
      <c r="X11" s="3"/>
      <c r="Y11" s="3"/>
      <c r="Z11" s="3"/>
      <c r="AA11" s="1"/>
      <c r="AB11" s="44" t="s">
        <v>7</v>
      </c>
      <c r="AC11" s="45"/>
      <c r="AD11" s="45"/>
      <c r="AE11" s="48">
        <v>10</v>
      </c>
      <c r="AF11" s="48"/>
      <c r="AG11" s="48"/>
      <c r="AH11" s="48"/>
      <c r="AI11" s="51"/>
      <c r="AJ11" s="51"/>
      <c r="AK11" s="51"/>
      <c r="AM11" s="107"/>
      <c r="AN11" s="108"/>
      <c r="AO11" s="109"/>
      <c r="AP11" s="32"/>
      <c r="AQ11" s="33"/>
      <c r="AR11" s="33"/>
      <c r="AS11" s="34"/>
      <c r="AT11" s="35" t="s">
        <v>29</v>
      </c>
      <c r="AU11" s="36"/>
      <c r="AV11" s="16"/>
    </row>
    <row r="12" spans="1:48" ht="52.15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5" t="s">
        <v>1</v>
      </c>
      <c r="K12" s="3"/>
      <c r="L12" s="3"/>
      <c r="M12" s="5"/>
      <c r="N12" s="5" t="s">
        <v>0</v>
      </c>
      <c r="O12" s="5"/>
      <c r="P12" s="5" t="s">
        <v>113</v>
      </c>
      <c r="Q12" s="3"/>
      <c r="R12" s="5" t="s">
        <v>0</v>
      </c>
      <c r="S12" s="3"/>
      <c r="T12" s="3"/>
      <c r="U12" s="3"/>
      <c r="V12" s="3"/>
      <c r="W12" s="3"/>
      <c r="X12" s="3"/>
      <c r="Y12" s="3"/>
      <c r="Z12" s="3"/>
      <c r="AA12" s="1"/>
      <c r="AB12" s="46"/>
      <c r="AC12" s="46"/>
      <c r="AD12" s="46"/>
      <c r="AE12" s="49"/>
      <c r="AF12" s="49"/>
      <c r="AG12" s="49"/>
      <c r="AH12" s="49"/>
      <c r="AI12" s="52"/>
      <c r="AJ12" s="52"/>
      <c r="AK12" s="52"/>
      <c r="AM12" s="111" t="s">
        <v>31</v>
      </c>
      <c r="AN12" s="112"/>
      <c r="AO12" s="113"/>
      <c r="AP12" s="20" t="s">
        <v>27</v>
      </c>
      <c r="AQ12" s="21"/>
      <c r="AR12" s="21"/>
      <c r="AS12" s="22"/>
      <c r="AT12" s="23"/>
      <c r="AU12" s="24"/>
      <c r="AV12" s="25"/>
    </row>
    <row r="13" spans="1:48" ht="52.15" customHeight="1" x14ac:dyDescent="0.2">
      <c r="A13" s="3"/>
      <c r="B13" s="3"/>
      <c r="C13" s="3"/>
      <c r="D13" s="3"/>
      <c r="E13" s="3"/>
      <c r="F13" s="3"/>
      <c r="G13" s="3"/>
      <c r="H13" s="3"/>
      <c r="I13" s="3"/>
      <c r="J13" s="5" t="s">
        <v>0</v>
      </c>
      <c r="K13" s="5" t="s">
        <v>0</v>
      </c>
      <c r="L13" s="5" t="s">
        <v>0</v>
      </c>
      <c r="M13" s="5" t="s">
        <v>0</v>
      </c>
      <c r="N13" s="5" t="s">
        <v>0</v>
      </c>
      <c r="O13" s="5"/>
      <c r="P13" s="5" t="s">
        <v>113</v>
      </c>
      <c r="Q13" s="3"/>
      <c r="R13" s="5" t="s">
        <v>0</v>
      </c>
      <c r="S13" s="3"/>
      <c r="T13" s="3"/>
      <c r="U13" s="3"/>
      <c r="V13" s="3"/>
      <c r="W13" s="3"/>
      <c r="X13" s="3"/>
      <c r="Y13" s="3"/>
      <c r="Z13" s="3"/>
      <c r="AA13" s="1"/>
      <c r="AB13" s="47"/>
      <c r="AC13" s="47"/>
      <c r="AD13" s="47"/>
      <c r="AE13" s="50"/>
      <c r="AF13" s="50"/>
      <c r="AG13" s="50"/>
      <c r="AH13" s="50"/>
      <c r="AI13" s="53"/>
      <c r="AJ13" s="53"/>
      <c r="AK13" s="53"/>
      <c r="AM13" s="114"/>
      <c r="AN13" s="115"/>
      <c r="AO13" s="116"/>
      <c r="AP13" s="29" t="s">
        <v>44</v>
      </c>
      <c r="AQ13" s="30"/>
      <c r="AR13" s="30"/>
      <c r="AS13" s="31"/>
      <c r="AT13" s="26"/>
      <c r="AU13" s="27"/>
      <c r="AV13" s="28"/>
    </row>
    <row r="14" spans="1:48" ht="52.1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5"/>
      <c r="K14" s="5" t="s">
        <v>0</v>
      </c>
      <c r="L14" s="3"/>
      <c r="M14" s="5" t="s">
        <v>0</v>
      </c>
      <c r="N14" s="3"/>
      <c r="O14" s="5"/>
      <c r="P14" s="5" t="s">
        <v>113</v>
      </c>
      <c r="Q14" s="3" t="s">
        <v>37</v>
      </c>
      <c r="R14" s="5" t="s">
        <v>0</v>
      </c>
      <c r="S14" s="3"/>
      <c r="T14" s="3"/>
      <c r="U14" s="3"/>
      <c r="V14" s="3"/>
      <c r="W14" s="3"/>
      <c r="X14" s="3"/>
      <c r="Y14" s="3"/>
      <c r="Z14" s="3"/>
      <c r="AA14" s="1"/>
      <c r="AB14" s="40"/>
      <c r="AC14" s="65"/>
      <c r="AD14" s="65"/>
      <c r="AE14" s="65"/>
      <c r="AF14" s="65"/>
      <c r="AG14" s="65"/>
      <c r="AH14" s="65"/>
      <c r="AI14" s="65"/>
      <c r="AJ14" s="65"/>
      <c r="AK14" s="41"/>
      <c r="AM14" s="117"/>
      <c r="AN14" s="118"/>
      <c r="AO14" s="119"/>
      <c r="AP14" s="32"/>
      <c r="AQ14" s="33"/>
      <c r="AR14" s="33"/>
      <c r="AS14" s="34"/>
      <c r="AT14" s="35" t="s">
        <v>29</v>
      </c>
      <c r="AU14" s="36"/>
      <c r="AV14" s="16"/>
    </row>
    <row r="15" spans="1:48" ht="52.15" customHeight="1" x14ac:dyDescent="0.2">
      <c r="A15" s="3"/>
      <c r="B15" s="3"/>
      <c r="C15" s="3"/>
      <c r="D15" s="3"/>
      <c r="E15" s="3"/>
      <c r="F15" s="3"/>
      <c r="G15" s="3"/>
      <c r="H15" s="5" t="s">
        <v>0</v>
      </c>
      <c r="I15" s="5" t="s">
        <v>0</v>
      </c>
      <c r="J15" s="5" t="s">
        <v>0</v>
      </c>
      <c r="K15" s="5" t="s">
        <v>0</v>
      </c>
      <c r="L15" s="3"/>
      <c r="M15" s="5" t="s">
        <v>0</v>
      </c>
      <c r="N15" s="3"/>
      <c r="O15" s="12"/>
      <c r="P15" s="5" t="s">
        <v>113</v>
      </c>
      <c r="Q15" s="5"/>
      <c r="R15" s="5" t="s">
        <v>0</v>
      </c>
      <c r="S15" s="3"/>
      <c r="T15" s="3"/>
      <c r="U15" s="5"/>
      <c r="V15" s="3"/>
      <c r="W15" s="3"/>
      <c r="X15" s="3"/>
      <c r="Y15" s="3"/>
      <c r="Z15" s="3"/>
      <c r="AA15" s="1"/>
      <c r="AB15" s="66"/>
      <c r="AC15" s="67"/>
      <c r="AD15" s="67"/>
      <c r="AE15" s="67"/>
      <c r="AF15" s="67"/>
      <c r="AG15" s="67"/>
      <c r="AH15" s="67"/>
      <c r="AI15" s="67"/>
      <c r="AJ15" s="67"/>
      <c r="AK15" s="68"/>
      <c r="AM15" s="120" t="s">
        <v>33</v>
      </c>
      <c r="AN15" s="121"/>
      <c r="AO15" s="122"/>
      <c r="AP15" s="20" t="s">
        <v>27</v>
      </c>
      <c r="AQ15" s="21"/>
      <c r="AR15" s="21"/>
      <c r="AS15" s="22"/>
      <c r="AT15" s="23"/>
      <c r="AU15" s="24"/>
      <c r="AV15" s="25"/>
    </row>
    <row r="16" spans="1:48" ht="52.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5"/>
      <c r="K16" s="5" t="s">
        <v>0</v>
      </c>
      <c r="L16" s="3"/>
      <c r="M16" s="5" t="s">
        <v>0</v>
      </c>
      <c r="N16" s="3"/>
      <c r="O16" s="5"/>
      <c r="P16" s="5" t="s">
        <v>113</v>
      </c>
      <c r="Q16" s="5" t="s">
        <v>0</v>
      </c>
      <c r="R16" s="5" t="s">
        <v>0</v>
      </c>
      <c r="S16" s="3"/>
      <c r="T16" s="3"/>
      <c r="U16" s="3"/>
      <c r="V16" s="3"/>
      <c r="W16" s="3"/>
      <c r="X16" s="3"/>
      <c r="Y16" s="3"/>
      <c r="Z16" s="3"/>
      <c r="AA16" s="1"/>
      <c r="AB16" s="42"/>
      <c r="AC16" s="69"/>
      <c r="AD16" s="69"/>
      <c r="AE16" s="69"/>
      <c r="AF16" s="69"/>
      <c r="AG16" s="69"/>
      <c r="AH16" s="69"/>
      <c r="AI16" s="69"/>
      <c r="AJ16" s="69"/>
      <c r="AK16" s="43"/>
      <c r="AM16" s="123"/>
      <c r="AN16" s="124"/>
      <c r="AO16" s="125"/>
      <c r="AP16" s="29" t="s">
        <v>34</v>
      </c>
      <c r="AQ16" s="30"/>
      <c r="AR16" s="30"/>
      <c r="AS16" s="31"/>
      <c r="AT16" s="26"/>
      <c r="AU16" s="27"/>
      <c r="AV16" s="28"/>
    </row>
    <row r="17" spans="1:48" ht="52.15" customHeight="1" x14ac:dyDescent="0.2">
      <c r="A17" s="3"/>
      <c r="B17" s="3"/>
      <c r="C17" s="3"/>
      <c r="D17" s="3"/>
      <c r="E17" s="3"/>
      <c r="F17" s="3"/>
      <c r="G17" s="3"/>
      <c r="H17" s="3"/>
      <c r="I17" s="3"/>
      <c r="J17" s="5"/>
      <c r="K17" s="5" t="s">
        <v>0</v>
      </c>
      <c r="L17" s="5" t="s">
        <v>0</v>
      </c>
      <c r="M17" s="5" t="s">
        <v>0</v>
      </c>
      <c r="N17" s="5" t="s">
        <v>0</v>
      </c>
      <c r="O17" s="5" t="s">
        <v>0</v>
      </c>
      <c r="P17" s="5" t="s">
        <v>0</v>
      </c>
      <c r="Q17" s="3"/>
      <c r="R17" s="5" t="s">
        <v>0</v>
      </c>
      <c r="S17" s="3"/>
      <c r="T17" s="3"/>
      <c r="U17" s="3"/>
      <c r="V17" s="5"/>
      <c r="W17" s="5"/>
      <c r="X17" s="5"/>
      <c r="Y17" s="3"/>
      <c r="Z17" s="3"/>
      <c r="AA17" s="1"/>
      <c r="AB17" s="70"/>
      <c r="AC17" s="71"/>
      <c r="AD17" s="76"/>
      <c r="AE17" s="77"/>
      <c r="AF17" s="82"/>
      <c r="AG17" s="71"/>
      <c r="AH17" s="83"/>
      <c r="AI17" s="77"/>
      <c r="AJ17" s="70"/>
      <c r="AK17" s="71"/>
      <c r="AM17" s="126"/>
      <c r="AN17" s="127"/>
      <c r="AO17" s="128"/>
      <c r="AP17" s="32"/>
      <c r="AQ17" s="33"/>
      <c r="AR17" s="33"/>
      <c r="AS17" s="34"/>
      <c r="AT17" s="35"/>
      <c r="AU17" s="37"/>
      <c r="AV17" s="36"/>
    </row>
    <row r="18" spans="1:48" ht="52.15" customHeight="1" x14ac:dyDescent="0.2">
      <c r="A18" s="3"/>
      <c r="B18" s="3"/>
      <c r="C18" s="3"/>
      <c r="D18" s="3"/>
      <c r="E18" s="3"/>
      <c r="F18" s="3"/>
      <c r="G18" s="3"/>
      <c r="H18" s="3"/>
      <c r="I18" s="3"/>
      <c r="J18" s="5"/>
      <c r="K18" s="3"/>
      <c r="L18" s="3"/>
      <c r="M18" s="3"/>
      <c r="N18" s="3"/>
      <c r="O18" s="5"/>
      <c r="P18" s="5" t="s">
        <v>0</v>
      </c>
      <c r="Q18" s="5" t="s">
        <v>0</v>
      </c>
      <c r="R18" s="5" t="s">
        <v>0</v>
      </c>
      <c r="S18" s="3"/>
      <c r="T18" s="3"/>
      <c r="U18" s="3"/>
      <c r="V18" s="3"/>
      <c r="W18" s="5"/>
      <c r="X18" s="3"/>
      <c r="Y18" s="3"/>
      <c r="Z18" s="3"/>
      <c r="AA18" s="1"/>
      <c r="AB18" s="72"/>
      <c r="AC18" s="73"/>
      <c r="AD18" s="78"/>
      <c r="AE18" s="79"/>
      <c r="AF18" s="72"/>
      <c r="AG18" s="73"/>
      <c r="AH18" s="78"/>
      <c r="AI18" s="79"/>
      <c r="AJ18" s="72"/>
      <c r="AK18" s="73"/>
      <c r="AM18" s="92" t="s">
        <v>35</v>
      </c>
      <c r="AN18" s="93"/>
      <c r="AO18" s="94"/>
      <c r="AP18" s="20" t="s">
        <v>27</v>
      </c>
      <c r="AQ18" s="21"/>
      <c r="AR18" s="21"/>
      <c r="AS18" s="22"/>
      <c r="AT18" s="23"/>
      <c r="AU18" s="24"/>
      <c r="AV18" s="25"/>
    </row>
    <row r="19" spans="1:48" ht="52.15" customHeight="1" x14ac:dyDescent="0.2">
      <c r="A19" s="3"/>
      <c r="B19" s="3"/>
      <c r="C19" s="3"/>
      <c r="D19" s="3"/>
      <c r="E19" s="3"/>
      <c r="F19" s="3"/>
      <c r="G19" s="3"/>
      <c r="H19" s="3"/>
      <c r="I19" s="3"/>
      <c r="J19" s="5"/>
      <c r="K19" s="3"/>
      <c r="L19" s="3"/>
      <c r="M19" s="3"/>
      <c r="N19" s="3"/>
      <c r="O19" s="5"/>
      <c r="P19" s="3"/>
      <c r="Q19" s="3"/>
      <c r="R19" s="5" t="s">
        <v>0</v>
      </c>
      <c r="S19" s="3"/>
      <c r="T19" s="3"/>
      <c r="U19" s="3"/>
      <c r="V19" s="3"/>
      <c r="W19" s="5"/>
      <c r="X19" s="3"/>
      <c r="Y19" s="3"/>
      <c r="Z19" s="3"/>
      <c r="AA19" s="1"/>
      <c r="AB19" s="72"/>
      <c r="AC19" s="73"/>
      <c r="AD19" s="78"/>
      <c r="AE19" s="79"/>
      <c r="AF19" s="72"/>
      <c r="AG19" s="73"/>
      <c r="AH19" s="78"/>
      <c r="AI19" s="79"/>
      <c r="AJ19" s="72"/>
      <c r="AK19" s="73"/>
      <c r="AM19" s="95"/>
      <c r="AN19" s="96"/>
      <c r="AO19" s="97"/>
      <c r="AP19" s="29" t="s">
        <v>34</v>
      </c>
      <c r="AQ19" s="30"/>
      <c r="AR19" s="30"/>
      <c r="AS19" s="31"/>
      <c r="AT19" s="26"/>
      <c r="AU19" s="27"/>
      <c r="AV19" s="28"/>
    </row>
    <row r="20" spans="1:48" ht="52.15" customHeight="1" x14ac:dyDescent="0.2">
      <c r="A20" s="3"/>
      <c r="B20" s="3"/>
      <c r="C20" s="3"/>
      <c r="D20" s="3"/>
      <c r="E20" s="3"/>
      <c r="F20" s="3"/>
      <c r="G20" s="3"/>
      <c r="H20" s="3"/>
      <c r="I20" s="3"/>
      <c r="J20" s="5"/>
      <c r="K20" s="5"/>
      <c r="L20" s="5"/>
      <c r="M20" s="5"/>
      <c r="N20" s="5"/>
      <c r="O20" s="5"/>
      <c r="P20" s="5"/>
      <c r="Q20" s="5"/>
      <c r="R20" s="5" t="s">
        <v>0</v>
      </c>
      <c r="S20" s="3"/>
      <c r="T20" s="3"/>
      <c r="U20" s="3"/>
      <c r="V20" s="3"/>
      <c r="W20" s="3"/>
      <c r="X20" s="3"/>
      <c r="Y20" s="3"/>
      <c r="Z20" s="3"/>
      <c r="AA20" s="1"/>
      <c r="AB20" s="74"/>
      <c r="AC20" s="75"/>
      <c r="AD20" s="80"/>
      <c r="AE20" s="81"/>
      <c r="AF20" s="74"/>
      <c r="AG20" s="75"/>
      <c r="AH20" s="80"/>
      <c r="AI20" s="81"/>
      <c r="AJ20" s="74"/>
      <c r="AK20" s="75"/>
      <c r="AM20" s="98"/>
      <c r="AN20" s="99"/>
      <c r="AO20" s="100"/>
      <c r="AP20" s="32"/>
      <c r="AQ20" s="33"/>
      <c r="AR20" s="33"/>
      <c r="AS20" s="34"/>
      <c r="AT20" s="35"/>
      <c r="AU20" s="37"/>
      <c r="AV20" s="36"/>
    </row>
    <row r="21" spans="1:48" ht="52.15" customHeight="1" x14ac:dyDescent="0.2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9"/>
      <c r="P21" s="8"/>
      <c r="Q21" s="8"/>
      <c r="R21" s="10" t="s">
        <v>0</v>
      </c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9"/>
      <c r="AJ21" s="9"/>
      <c r="AK21" s="9"/>
    </row>
    <row r="22" spans="1:48" ht="52.15" customHeight="1" x14ac:dyDescent="0.2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54"/>
      <c r="O22" s="55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9"/>
      <c r="AJ22" s="9"/>
      <c r="AK22" s="9"/>
    </row>
    <row r="23" spans="1:48" ht="52.15" customHeight="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55"/>
      <c r="O23" s="55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9"/>
      <c r="AJ23" s="9"/>
      <c r="AK23" s="9"/>
    </row>
    <row r="24" spans="1:48" ht="52.15" customHeight="1" x14ac:dyDescent="0.2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9"/>
      <c r="AJ24" s="9"/>
      <c r="AK24" s="9"/>
    </row>
    <row r="25" spans="1:48" ht="52.15" customHeight="1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9"/>
      <c r="AJ25" s="9"/>
      <c r="AK25" s="9"/>
    </row>
    <row r="26" spans="1:48" ht="52.1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48" ht="52.15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</sheetData>
  <protectedRanges>
    <protectedRange algorithmName="SHA-512" hashValue="7OG/bWeLllYxZ4K3Kq5GAO5/SgKapAzGDOzdJdYu8ZL2JGrgse1s/YVVRJROunDCr3OH25JVKB/PMZySKgVvrQ==" saltValue="c4aufWLIF14wGHuAsfDqHA==" spinCount="100000" sqref="AB9:AK13" name="区域1"/>
  </protectedRanges>
  <mergeCells count="49">
    <mergeCell ref="AM1:AV2"/>
    <mergeCell ref="AM3:AV4"/>
    <mergeCell ref="AM18:AO20"/>
    <mergeCell ref="AM6:AO8"/>
    <mergeCell ref="AM9:AO11"/>
    <mergeCell ref="AM12:AO14"/>
    <mergeCell ref="AM15:AO17"/>
    <mergeCell ref="AP6:AS6"/>
    <mergeCell ref="AP7:AS8"/>
    <mergeCell ref="AT6:AV7"/>
    <mergeCell ref="AT8:AU8"/>
    <mergeCell ref="AP9:AS9"/>
    <mergeCell ref="AT9:AV10"/>
    <mergeCell ref="AP10:AS11"/>
    <mergeCell ref="AT11:AU11"/>
    <mergeCell ref="AP12:AS12"/>
    <mergeCell ref="N22:O23"/>
    <mergeCell ref="AB5:AK7"/>
    <mergeCell ref="AB14:AK16"/>
    <mergeCell ref="AB17:AC20"/>
    <mergeCell ref="AD17:AE20"/>
    <mergeCell ref="AF17:AG20"/>
    <mergeCell ref="AH17:AI20"/>
    <mergeCell ref="AJ17:AK20"/>
    <mergeCell ref="AB8:AC8"/>
    <mergeCell ref="AD8:AE8"/>
    <mergeCell ref="AF8:AG8"/>
    <mergeCell ref="AH8:AI8"/>
    <mergeCell ref="AJ8:AK8"/>
    <mergeCell ref="AB9:AC10"/>
    <mergeCell ref="AD9:AE10"/>
    <mergeCell ref="AF9:AG10"/>
    <mergeCell ref="A1:AK3"/>
    <mergeCell ref="AH9:AI10"/>
    <mergeCell ref="AJ9:AK10"/>
    <mergeCell ref="AB11:AD13"/>
    <mergeCell ref="AE11:AH13"/>
    <mergeCell ref="AI11:AK13"/>
    <mergeCell ref="AP18:AS18"/>
    <mergeCell ref="AT18:AV19"/>
    <mergeCell ref="AP19:AS20"/>
    <mergeCell ref="AP13:AS14"/>
    <mergeCell ref="AT14:AU14"/>
    <mergeCell ref="AP15:AS15"/>
    <mergeCell ref="AT15:AV16"/>
    <mergeCell ref="AP16:AS17"/>
    <mergeCell ref="AT17:AV17"/>
    <mergeCell ref="AT20:AV20"/>
    <mergeCell ref="AT12:AV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testw">
                <anchor moveWithCells="1" sizeWithCells="1">
                  <from>
                    <xdr:col>22</xdr:col>
                    <xdr:colOff>533400</xdr:colOff>
                    <xdr:row>11</xdr:row>
                    <xdr:rowOff>47625</xdr:rowOff>
                  </from>
                  <to>
                    <xdr:col>24</xdr:col>
                    <xdr:colOff>200025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heet1.tests">
                <anchor moveWithCells="1" sizeWithCells="1">
                  <from>
                    <xdr:col>22</xdr:col>
                    <xdr:colOff>552450</xdr:colOff>
                    <xdr:row>12</xdr:row>
                    <xdr:rowOff>304800</xdr:rowOff>
                  </from>
                  <to>
                    <xdr:col>24</xdr:col>
                    <xdr:colOff>209550</xdr:colOff>
                    <xdr:row>13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heet1.testa">
                <anchor moveWithCells="1" sizeWithCells="1">
                  <from>
                    <xdr:col>21</xdr:col>
                    <xdr:colOff>257175</xdr:colOff>
                    <xdr:row>12</xdr:row>
                    <xdr:rowOff>276225</xdr:rowOff>
                  </from>
                  <to>
                    <xdr:col>22</xdr:col>
                    <xdr:colOff>495300</xdr:colOff>
                    <xdr:row>13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1.testd">
                <anchor moveWithCells="1" sizeWithCells="1">
                  <from>
                    <xdr:col>24</xdr:col>
                    <xdr:colOff>238125</xdr:colOff>
                    <xdr:row>12</xdr:row>
                    <xdr:rowOff>228600</xdr:rowOff>
                  </from>
                  <to>
                    <xdr:col>25</xdr:col>
                    <xdr:colOff>476250</xdr:colOff>
                    <xdr:row>13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1.testresetgame">
                <anchor moveWithCells="1" sizeWithCells="1">
                  <from>
                    <xdr:col>21</xdr:col>
                    <xdr:colOff>381000</xdr:colOff>
                    <xdr:row>14</xdr:row>
                    <xdr:rowOff>266700</xdr:rowOff>
                  </from>
                  <to>
                    <xdr:col>25</xdr:col>
                    <xdr:colOff>476250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am">
                <anchor moveWithCells="1" sizeWithCells="1">
                  <from>
                    <xdr:col>23</xdr:col>
                    <xdr:colOff>209550</xdr:colOff>
                    <xdr:row>8</xdr:row>
                    <xdr:rowOff>400050</xdr:rowOff>
                  </from>
                  <to>
                    <xdr:col>25</xdr:col>
                    <xdr:colOff>476250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按钮8_Click">
                <anchor moveWithCells="1" sizeWithCells="1">
                  <from>
                    <xdr:col>45</xdr:col>
                    <xdr:colOff>95250</xdr:colOff>
                    <xdr:row>5</xdr:row>
                    <xdr:rowOff>171450</xdr:rowOff>
                  </from>
                  <to>
                    <xdr:col>47</xdr:col>
                    <xdr:colOff>495300</xdr:colOff>
                    <xdr:row>6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按钮9_Click">
                <anchor moveWithCells="1" sizeWithCells="1">
                  <from>
                    <xdr:col>45</xdr:col>
                    <xdr:colOff>95250</xdr:colOff>
                    <xdr:row>8</xdr:row>
                    <xdr:rowOff>171450</xdr:rowOff>
                  </from>
                  <to>
                    <xdr:col>47</xdr:col>
                    <xdr:colOff>495300</xdr:colOff>
                    <xdr:row>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按钮10_Click">
                <anchor moveWithCells="1" sizeWithCells="1">
                  <from>
                    <xdr:col>45</xdr:col>
                    <xdr:colOff>95250</xdr:colOff>
                    <xdr:row>11</xdr:row>
                    <xdr:rowOff>171450</xdr:rowOff>
                  </from>
                  <to>
                    <xdr:col>47</xdr:col>
                    <xdr:colOff>495300</xdr:colOff>
                    <xdr:row>12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按钮11_Click">
                <anchor moveWithCells="1" sizeWithCells="1">
                  <from>
                    <xdr:col>45</xdr:col>
                    <xdr:colOff>95250</xdr:colOff>
                    <xdr:row>14</xdr:row>
                    <xdr:rowOff>171450</xdr:rowOff>
                  </from>
                  <to>
                    <xdr:col>47</xdr:col>
                    <xdr:colOff>495300</xdr:colOff>
                    <xdr:row>15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按钮8_Click">
                <anchor moveWithCells="1" sizeWithCells="1">
                  <from>
                    <xdr:col>45</xdr:col>
                    <xdr:colOff>95250</xdr:colOff>
                    <xdr:row>17</xdr:row>
                    <xdr:rowOff>171450</xdr:rowOff>
                  </from>
                  <to>
                    <xdr:col>47</xdr:col>
                    <xdr:colOff>495300</xdr:colOff>
                    <xdr:row>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按钮12_Click">
                <anchor moveWithCells="1" sizeWithCells="1">
                  <from>
                    <xdr:col>45</xdr:col>
                    <xdr:colOff>95250</xdr:colOff>
                    <xdr:row>17</xdr:row>
                    <xdr:rowOff>171450</xdr:rowOff>
                  </from>
                  <to>
                    <xdr:col>47</xdr:col>
                    <xdr:colOff>495300</xdr:colOff>
                    <xdr:row>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hideshop">
                <anchor moveWithCells="1" sizeWithCells="1">
                  <from>
                    <xdr:col>34</xdr:col>
                    <xdr:colOff>285750</xdr:colOff>
                    <xdr:row>11</xdr:row>
                    <xdr:rowOff>457200</xdr:rowOff>
                  </from>
                  <to>
                    <xdr:col>36</xdr:col>
                    <xdr:colOff>381000</xdr:colOff>
                    <xdr:row>12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showshop">
                <anchor moveWithCells="1" sizeWithCells="1">
                  <from>
                    <xdr:col>34</xdr:col>
                    <xdr:colOff>285750</xdr:colOff>
                    <xdr:row>10</xdr:row>
                    <xdr:rowOff>285750</xdr:rowOff>
                  </from>
                  <to>
                    <xdr:col>36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3055F-8E6A-4E34-A922-B25DB307958F}">
  <sheetPr codeName="Sheet2"/>
  <dimension ref="A1:V350"/>
  <sheetViews>
    <sheetView zoomScale="55" zoomScaleNormal="55" workbookViewId="0">
      <selection activeCell="N73" sqref="N73"/>
    </sheetView>
  </sheetViews>
  <sheetFormatPr defaultRowHeight="14.25" x14ac:dyDescent="0.2"/>
  <cols>
    <col min="1" max="2" width="16.125" bestFit="1" customWidth="1"/>
    <col min="3" max="3" width="13.875" bestFit="1" customWidth="1"/>
    <col min="4" max="7" width="16.125" bestFit="1" customWidth="1"/>
    <col min="8" max="8" width="20.5" bestFit="1" customWidth="1"/>
    <col min="9" max="12" width="18.375" bestFit="1" customWidth="1"/>
    <col min="13" max="15" width="19.375" bestFit="1" customWidth="1"/>
    <col min="16" max="16" width="18.25" bestFit="1" customWidth="1"/>
    <col min="17" max="21" width="22.625" bestFit="1" customWidth="1"/>
    <col min="22" max="22" width="16" bestFit="1" customWidth="1"/>
  </cols>
  <sheetData>
    <row r="1" spans="1:22" x14ac:dyDescent="0.2">
      <c r="A1" t="s">
        <v>21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39</v>
      </c>
      <c r="K1" t="s">
        <v>40</v>
      </c>
      <c r="L1" t="s">
        <v>20</v>
      </c>
      <c r="M1" t="s">
        <v>110</v>
      </c>
      <c r="N1" t="s">
        <v>111</v>
      </c>
      <c r="O1" t="s">
        <v>112</v>
      </c>
      <c r="P1" t="s">
        <v>114</v>
      </c>
      <c r="Q1" t="s">
        <v>118</v>
      </c>
      <c r="R1" t="s">
        <v>119</v>
      </c>
      <c r="S1" t="s">
        <v>121</v>
      </c>
      <c r="T1" t="s">
        <v>120</v>
      </c>
      <c r="U1" t="s">
        <v>122</v>
      </c>
      <c r="V1" t="s">
        <v>137</v>
      </c>
    </row>
    <row r="2" spans="1:22" x14ac:dyDescent="0.2">
      <c r="A2" s="13" t="s">
        <v>109</v>
      </c>
      <c r="B2" s="14">
        <v>44262.857245370367</v>
      </c>
      <c r="C2">
        <v>2</v>
      </c>
      <c r="D2">
        <v>10</v>
      </c>
      <c r="E2">
        <v>10</v>
      </c>
      <c r="F2">
        <v>10</v>
      </c>
      <c r="G2">
        <v>10</v>
      </c>
      <c r="H2">
        <v>10</v>
      </c>
      <c r="I2" t="s">
        <v>42</v>
      </c>
      <c r="J2" t="s">
        <v>42</v>
      </c>
      <c r="K2" t="s">
        <v>42</v>
      </c>
      <c r="L2">
        <v>0</v>
      </c>
      <c r="M2">
        <v>0</v>
      </c>
      <c r="N2">
        <v>0</v>
      </c>
      <c r="O2">
        <v>0</v>
      </c>
      <c r="P2">
        <v>1</v>
      </c>
      <c r="Q2" s="13" t="s">
        <v>116</v>
      </c>
      <c r="R2" s="13" t="s">
        <v>116</v>
      </c>
      <c r="S2" s="13" t="s">
        <v>116</v>
      </c>
      <c r="T2" s="13" t="s">
        <v>115</v>
      </c>
      <c r="U2" s="13" t="s">
        <v>115</v>
      </c>
      <c r="V2" s="13" t="s">
        <v>145</v>
      </c>
    </row>
    <row r="3" spans="1:22" x14ac:dyDescent="0.2">
      <c r="A3" s="13" t="s">
        <v>45</v>
      </c>
      <c r="B3" s="14">
        <v>44263.857245312502</v>
      </c>
      <c r="C3">
        <v>2.56</v>
      </c>
      <c r="D3" s="17">
        <v>14.42</v>
      </c>
      <c r="E3" s="17">
        <v>29.51</v>
      </c>
      <c r="F3" s="17">
        <v>5.64</v>
      </c>
      <c r="G3" s="17">
        <v>14.88</v>
      </c>
      <c r="H3" s="17">
        <v>49.8</v>
      </c>
      <c r="I3">
        <v>4</v>
      </c>
      <c r="J3">
        <v>1</v>
      </c>
      <c r="K3">
        <v>9</v>
      </c>
      <c r="L3">
        <f>I3*12</f>
        <v>48</v>
      </c>
      <c r="M3">
        <f>J3*15</f>
        <v>15</v>
      </c>
      <c r="N3">
        <f>K3*20</f>
        <v>180</v>
      </c>
      <c r="O3">
        <f>L3+M3+N3</f>
        <v>243</v>
      </c>
      <c r="P3">
        <v>7</v>
      </c>
      <c r="Q3" s="13" t="s">
        <v>116</v>
      </c>
      <c r="R3" s="13" t="s">
        <v>115</v>
      </c>
      <c r="S3" s="13" t="s">
        <v>115</v>
      </c>
      <c r="T3" s="13" t="s">
        <v>115</v>
      </c>
      <c r="U3" s="13" t="s">
        <v>115</v>
      </c>
      <c r="V3" s="13" t="s">
        <v>145</v>
      </c>
    </row>
    <row r="4" spans="1:22" x14ac:dyDescent="0.2">
      <c r="A4" s="13" t="s">
        <v>46</v>
      </c>
      <c r="B4" s="14">
        <v>44264.857245312502</v>
      </c>
      <c r="C4">
        <v>3.71</v>
      </c>
      <c r="D4" s="17">
        <v>1.79</v>
      </c>
      <c r="E4" s="17">
        <v>33.97</v>
      </c>
      <c r="F4" s="17">
        <v>41.39</v>
      </c>
      <c r="G4" s="17">
        <v>11.07</v>
      </c>
      <c r="H4" s="17">
        <v>25.72</v>
      </c>
      <c r="I4">
        <v>10</v>
      </c>
      <c r="J4">
        <v>4</v>
      </c>
      <c r="K4">
        <v>10</v>
      </c>
      <c r="L4">
        <f t="shared" ref="L4:L66" si="0">I4*12</f>
        <v>120</v>
      </c>
      <c r="M4">
        <f t="shared" ref="M4:M66" si="1">J4*15</f>
        <v>60</v>
      </c>
      <c r="N4">
        <f t="shared" ref="N4:N66" si="2">K4*20</f>
        <v>200</v>
      </c>
      <c r="O4">
        <f t="shared" ref="O4:O66" si="3">L4+M4+N4</f>
        <v>380</v>
      </c>
      <c r="P4">
        <v>7</v>
      </c>
      <c r="Q4" s="13" t="s">
        <v>116</v>
      </c>
      <c r="R4" s="13" t="s">
        <v>115</v>
      </c>
      <c r="S4" s="13" t="s">
        <v>115</v>
      </c>
      <c r="T4" s="13" t="s">
        <v>115</v>
      </c>
      <c r="U4" s="13" t="s">
        <v>116</v>
      </c>
      <c r="V4" s="13" t="s">
        <v>141</v>
      </c>
    </row>
    <row r="5" spans="1:22" x14ac:dyDescent="0.2">
      <c r="A5" s="13" t="s">
        <v>47</v>
      </c>
      <c r="B5" s="14">
        <v>44265.857245312502</v>
      </c>
      <c r="C5">
        <v>3.81</v>
      </c>
      <c r="D5" s="17">
        <v>12.17</v>
      </c>
      <c r="E5" s="17">
        <v>25.14</v>
      </c>
      <c r="F5" s="17">
        <v>0.64</v>
      </c>
      <c r="G5" s="17">
        <v>31.76</v>
      </c>
      <c r="H5" s="17">
        <v>36.47</v>
      </c>
      <c r="I5">
        <v>5</v>
      </c>
      <c r="J5">
        <v>1</v>
      </c>
      <c r="K5">
        <v>2</v>
      </c>
      <c r="L5">
        <f t="shared" si="0"/>
        <v>60</v>
      </c>
      <c r="M5">
        <f t="shared" si="1"/>
        <v>15</v>
      </c>
      <c r="N5">
        <f t="shared" si="2"/>
        <v>40</v>
      </c>
      <c r="O5">
        <f t="shared" si="3"/>
        <v>115</v>
      </c>
      <c r="P5">
        <v>10</v>
      </c>
      <c r="Q5" s="13" t="s">
        <v>116</v>
      </c>
      <c r="R5" s="13" t="s">
        <v>116</v>
      </c>
      <c r="S5" s="13" t="s">
        <v>116</v>
      </c>
      <c r="T5" s="13" t="s">
        <v>115</v>
      </c>
      <c r="U5" s="13" t="s">
        <v>115</v>
      </c>
      <c r="V5" s="13" t="s">
        <v>145</v>
      </c>
    </row>
    <row r="6" spans="1:22" x14ac:dyDescent="0.2">
      <c r="A6" s="13" t="s">
        <v>48</v>
      </c>
      <c r="B6" s="14">
        <v>44266.857245312502</v>
      </c>
      <c r="C6">
        <v>1.46</v>
      </c>
      <c r="D6" s="17">
        <v>7.64</v>
      </c>
      <c r="E6" s="17">
        <v>20.07</v>
      </c>
      <c r="F6" s="17">
        <v>32</v>
      </c>
      <c r="G6" s="17">
        <v>21.15</v>
      </c>
      <c r="H6" s="17">
        <v>20.64</v>
      </c>
      <c r="I6">
        <v>7</v>
      </c>
      <c r="J6">
        <v>1</v>
      </c>
      <c r="K6">
        <v>1</v>
      </c>
      <c r="L6">
        <f t="shared" si="0"/>
        <v>84</v>
      </c>
      <c r="M6">
        <f t="shared" si="1"/>
        <v>15</v>
      </c>
      <c r="N6">
        <f t="shared" si="2"/>
        <v>20</v>
      </c>
      <c r="O6">
        <f t="shared" si="3"/>
        <v>119</v>
      </c>
      <c r="P6">
        <v>0</v>
      </c>
      <c r="Q6" s="13" t="s">
        <v>116</v>
      </c>
      <c r="R6" s="13" t="s">
        <v>115</v>
      </c>
      <c r="S6" s="13" t="s">
        <v>116</v>
      </c>
      <c r="T6" s="13" t="s">
        <v>115</v>
      </c>
      <c r="U6" s="13" t="s">
        <v>116</v>
      </c>
      <c r="V6" s="13" t="s">
        <v>140</v>
      </c>
    </row>
    <row r="7" spans="1:22" x14ac:dyDescent="0.2">
      <c r="A7" s="13" t="s">
        <v>49</v>
      </c>
      <c r="B7" s="14">
        <v>44267.857245312502</v>
      </c>
      <c r="C7">
        <v>0.03</v>
      </c>
      <c r="D7" s="17">
        <v>22.43</v>
      </c>
      <c r="E7" s="17">
        <v>29.31</v>
      </c>
      <c r="F7" s="17">
        <v>30.22</v>
      </c>
      <c r="G7" s="17">
        <v>12.63</v>
      </c>
      <c r="H7" s="17">
        <v>19.93</v>
      </c>
      <c r="I7">
        <v>7</v>
      </c>
      <c r="J7">
        <v>8</v>
      </c>
      <c r="K7">
        <v>3</v>
      </c>
      <c r="L7">
        <f t="shared" si="0"/>
        <v>84</v>
      </c>
      <c r="M7">
        <f t="shared" si="1"/>
        <v>120</v>
      </c>
      <c r="N7">
        <f t="shared" si="2"/>
        <v>60</v>
      </c>
      <c r="O7">
        <f t="shared" si="3"/>
        <v>264</v>
      </c>
      <c r="P7">
        <v>6</v>
      </c>
      <c r="Q7" s="13" t="s">
        <v>116</v>
      </c>
      <c r="R7" s="13" t="s">
        <v>115</v>
      </c>
      <c r="S7" s="13" t="s">
        <v>116</v>
      </c>
      <c r="T7" s="13" t="s">
        <v>115</v>
      </c>
      <c r="U7" s="13" t="s">
        <v>116</v>
      </c>
      <c r="V7" s="13" t="s">
        <v>140</v>
      </c>
    </row>
    <row r="8" spans="1:22" x14ac:dyDescent="0.2">
      <c r="A8" s="13" t="s">
        <v>50</v>
      </c>
      <c r="B8" s="14">
        <v>44268.857245312502</v>
      </c>
      <c r="C8">
        <v>3.97</v>
      </c>
      <c r="D8" s="17">
        <v>42.17</v>
      </c>
      <c r="E8" s="17">
        <v>4.07</v>
      </c>
      <c r="F8" s="17">
        <v>32.03</v>
      </c>
      <c r="G8" s="17">
        <v>26.17</v>
      </c>
      <c r="H8" s="17">
        <v>35.22</v>
      </c>
      <c r="I8">
        <v>2</v>
      </c>
      <c r="J8">
        <v>8</v>
      </c>
      <c r="K8">
        <v>5</v>
      </c>
      <c r="L8">
        <f t="shared" si="0"/>
        <v>24</v>
      </c>
      <c r="M8">
        <f t="shared" si="1"/>
        <v>120</v>
      </c>
      <c r="N8">
        <f t="shared" si="2"/>
        <v>100</v>
      </c>
      <c r="O8">
        <f t="shared" si="3"/>
        <v>244</v>
      </c>
      <c r="P8">
        <v>2</v>
      </c>
      <c r="Q8" s="13" t="s">
        <v>116</v>
      </c>
      <c r="R8" s="13" t="s">
        <v>116</v>
      </c>
      <c r="S8" s="13" t="s">
        <v>115</v>
      </c>
      <c r="T8" s="13" t="s">
        <v>115</v>
      </c>
      <c r="U8" s="13" t="s">
        <v>115</v>
      </c>
      <c r="V8" s="13" t="s">
        <v>145</v>
      </c>
    </row>
    <row r="9" spans="1:22" x14ac:dyDescent="0.2">
      <c r="A9" s="13" t="s">
        <v>51</v>
      </c>
      <c r="B9" s="14">
        <v>44269.857245312502</v>
      </c>
      <c r="C9">
        <v>0.2</v>
      </c>
      <c r="D9" s="17">
        <v>23.01</v>
      </c>
      <c r="E9" s="17">
        <v>12.74</v>
      </c>
      <c r="F9" s="17">
        <v>1.86</v>
      </c>
      <c r="G9" s="17">
        <v>27.52</v>
      </c>
      <c r="H9" s="17">
        <v>47.03</v>
      </c>
      <c r="I9">
        <v>4</v>
      </c>
      <c r="J9">
        <v>2</v>
      </c>
      <c r="K9">
        <v>9</v>
      </c>
      <c r="L9">
        <f t="shared" si="0"/>
        <v>48</v>
      </c>
      <c r="M9">
        <f t="shared" si="1"/>
        <v>30</v>
      </c>
      <c r="N9">
        <f t="shared" si="2"/>
        <v>180</v>
      </c>
      <c r="O9">
        <f t="shared" si="3"/>
        <v>258</v>
      </c>
      <c r="P9">
        <v>7</v>
      </c>
      <c r="Q9" s="13" t="s">
        <v>116</v>
      </c>
      <c r="R9" s="13" t="s">
        <v>115</v>
      </c>
      <c r="S9" s="13" t="s">
        <v>115</v>
      </c>
      <c r="T9" s="13" t="s">
        <v>115</v>
      </c>
      <c r="U9" s="13" t="s">
        <v>115</v>
      </c>
      <c r="V9" s="13" t="s">
        <v>145</v>
      </c>
    </row>
    <row r="10" spans="1:22" x14ac:dyDescent="0.2">
      <c r="A10" s="13" t="s">
        <v>52</v>
      </c>
      <c r="B10" s="14">
        <v>44270.857245312502</v>
      </c>
      <c r="C10">
        <v>1.45</v>
      </c>
      <c r="D10" s="17">
        <v>6.89</v>
      </c>
      <c r="E10" s="17">
        <v>24.18</v>
      </c>
      <c r="F10" s="17">
        <v>39.29</v>
      </c>
      <c r="G10" s="17">
        <v>40.659999999999997</v>
      </c>
      <c r="H10" s="17">
        <v>3.14</v>
      </c>
      <c r="I10">
        <v>9</v>
      </c>
      <c r="J10">
        <v>2</v>
      </c>
      <c r="K10">
        <v>5</v>
      </c>
      <c r="L10">
        <f t="shared" si="0"/>
        <v>108</v>
      </c>
      <c r="M10">
        <f t="shared" si="1"/>
        <v>30</v>
      </c>
      <c r="N10">
        <f t="shared" si="2"/>
        <v>100</v>
      </c>
      <c r="O10">
        <f t="shared" si="3"/>
        <v>238</v>
      </c>
      <c r="P10">
        <v>6</v>
      </c>
      <c r="Q10" s="13" t="s">
        <v>116</v>
      </c>
      <c r="R10" s="13" t="s">
        <v>116</v>
      </c>
      <c r="S10" s="13" t="s">
        <v>116</v>
      </c>
      <c r="T10" s="13" t="s">
        <v>115</v>
      </c>
      <c r="U10" s="13" t="s">
        <v>116</v>
      </c>
      <c r="V10" s="13" t="s">
        <v>140</v>
      </c>
    </row>
    <row r="11" spans="1:22" x14ac:dyDescent="0.2">
      <c r="A11" s="13" t="s">
        <v>53</v>
      </c>
      <c r="B11" s="14">
        <v>44271.857245312502</v>
      </c>
      <c r="C11">
        <v>0.7</v>
      </c>
      <c r="D11" s="17">
        <v>3.75</v>
      </c>
      <c r="E11" s="17">
        <v>31.92</v>
      </c>
      <c r="F11" s="17">
        <v>14.19</v>
      </c>
      <c r="G11" s="17">
        <v>27.68</v>
      </c>
      <c r="H11" s="17">
        <v>15.64</v>
      </c>
      <c r="I11">
        <v>5</v>
      </c>
      <c r="J11">
        <v>8</v>
      </c>
      <c r="K11">
        <v>7</v>
      </c>
      <c r="L11">
        <f t="shared" si="0"/>
        <v>60</v>
      </c>
      <c r="M11">
        <f t="shared" si="1"/>
        <v>120</v>
      </c>
      <c r="N11">
        <f t="shared" si="2"/>
        <v>140</v>
      </c>
      <c r="O11">
        <f t="shared" si="3"/>
        <v>320</v>
      </c>
      <c r="P11">
        <v>3</v>
      </c>
      <c r="Q11" s="13" t="s">
        <v>116</v>
      </c>
      <c r="R11" s="13" t="s">
        <v>115</v>
      </c>
      <c r="S11" s="13" t="s">
        <v>115</v>
      </c>
      <c r="T11" s="13" t="s">
        <v>116</v>
      </c>
      <c r="U11" s="13" t="s">
        <v>115</v>
      </c>
      <c r="V11" s="13" t="s">
        <v>145</v>
      </c>
    </row>
    <row r="12" spans="1:22" x14ac:dyDescent="0.2">
      <c r="A12" s="13" t="s">
        <v>54</v>
      </c>
      <c r="B12" s="14">
        <v>44272.857245312502</v>
      </c>
      <c r="C12">
        <v>1.1100000000000001</v>
      </c>
      <c r="D12" s="17">
        <v>47.42</v>
      </c>
      <c r="E12" s="17">
        <v>48.23</v>
      </c>
      <c r="F12" s="17">
        <v>15.35</v>
      </c>
      <c r="G12" s="17">
        <v>21.25</v>
      </c>
      <c r="H12" s="17">
        <v>1.05</v>
      </c>
      <c r="I12">
        <v>8</v>
      </c>
      <c r="J12">
        <v>6</v>
      </c>
      <c r="K12">
        <v>8</v>
      </c>
      <c r="L12">
        <f t="shared" si="0"/>
        <v>96</v>
      </c>
      <c r="M12">
        <f t="shared" si="1"/>
        <v>90</v>
      </c>
      <c r="N12">
        <f t="shared" si="2"/>
        <v>160</v>
      </c>
      <c r="O12">
        <f t="shared" si="3"/>
        <v>346</v>
      </c>
      <c r="P12">
        <v>1</v>
      </c>
      <c r="Q12" s="13" t="s">
        <v>116</v>
      </c>
      <c r="R12" s="13" t="s">
        <v>115</v>
      </c>
      <c r="S12" s="13" t="s">
        <v>115</v>
      </c>
      <c r="T12" s="13" t="s">
        <v>116</v>
      </c>
      <c r="U12" s="13" t="s">
        <v>115</v>
      </c>
      <c r="V12" s="13" t="s">
        <v>145</v>
      </c>
    </row>
    <row r="13" spans="1:22" x14ac:dyDescent="0.2">
      <c r="A13" s="13" t="s">
        <v>55</v>
      </c>
      <c r="B13" s="14">
        <v>44273.857245312502</v>
      </c>
      <c r="C13">
        <v>0.79</v>
      </c>
      <c r="D13" s="17">
        <v>9.06</v>
      </c>
      <c r="E13" s="17">
        <v>2.88</v>
      </c>
      <c r="F13" s="17">
        <v>28.11</v>
      </c>
      <c r="G13" s="17">
        <v>23.28</v>
      </c>
      <c r="H13" s="17">
        <v>46.3</v>
      </c>
      <c r="I13">
        <v>5</v>
      </c>
      <c r="J13">
        <v>2</v>
      </c>
      <c r="K13">
        <v>2</v>
      </c>
      <c r="L13">
        <f t="shared" si="0"/>
        <v>60</v>
      </c>
      <c r="M13">
        <f t="shared" si="1"/>
        <v>30</v>
      </c>
      <c r="N13">
        <f t="shared" si="2"/>
        <v>40</v>
      </c>
      <c r="O13">
        <f t="shared" si="3"/>
        <v>130</v>
      </c>
      <c r="P13">
        <v>7</v>
      </c>
      <c r="Q13" s="13" t="s">
        <v>116</v>
      </c>
      <c r="R13" s="13" t="s">
        <v>116</v>
      </c>
      <c r="S13" s="13" t="s">
        <v>115</v>
      </c>
      <c r="T13" s="13" t="s">
        <v>115</v>
      </c>
      <c r="U13" s="13" t="s">
        <v>115</v>
      </c>
      <c r="V13" s="13" t="s">
        <v>145</v>
      </c>
    </row>
    <row r="14" spans="1:22" x14ac:dyDescent="0.2">
      <c r="A14" s="13" t="s">
        <v>56</v>
      </c>
      <c r="B14" s="14">
        <v>44274.857245312502</v>
      </c>
      <c r="C14">
        <v>1</v>
      </c>
      <c r="D14" s="17">
        <v>17.899999999999999</v>
      </c>
      <c r="E14" s="17">
        <v>49.56</v>
      </c>
      <c r="F14" s="17">
        <v>3.49</v>
      </c>
      <c r="G14" s="17">
        <v>43.34</v>
      </c>
      <c r="H14" s="17">
        <v>38.5</v>
      </c>
      <c r="I14">
        <v>3</v>
      </c>
      <c r="J14">
        <v>10</v>
      </c>
      <c r="K14">
        <v>3</v>
      </c>
      <c r="L14">
        <f t="shared" si="0"/>
        <v>36</v>
      </c>
      <c r="M14">
        <f t="shared" si="1"/>
        <v>150</v>
      </c>
      <c r="N14">
        <f t="shared" si="2"/>
        <v>60</v>
      </c>
      <c r="O14">
        <f t="shared" si="3"/>
        <v>246</v>
      </c>
      <c r="P14">
        <v>0</v>
      </c>
      <c r="Q14" s="13" t="s">
        <v>116</v>
      </c>
      <c r="R14" s="13" t="s">
        <v>116</v>
      </c>
      <c r="S14" s="13" t="s">
        <v>115</v>
      </c>
      <c r="T14" s="13" t="s">
        <v>115</v>
      </c>
      <c r="U14" s="13" t="s">
        <v>115</v>
      </c>
      <c r="V14" s="13" t="s">
        <v>145</v>
      </c>
    </row>
    <row r="15" spans="1:22" x14ac:dyDescent="0.2">
      <c r="A15" s="13" t="s">
        <v>57</v>
      </c>
      <c r="B15" s="14">
        <v>44275.857245312502</v>
      </c>
      <c r="C15">
        <v>2.89</v>
      </c>
      <c r="D15" s="17">
        <v>30.81</v>
      </c>
      <c r="E15" s="17">
        <v>38.53</v>
      </c>
      <c r="F15" s="17">
        <v>36.479999999999997</v>
      </c>
      <c r="G15" s="17">
        <v>38.64</v>
      </c>
      <c r="H15" s="17">
        <v>8.1</v>
      </c>
      <c r="I15">
        <v>8</v>
      </c>
      <c r="J15">
        <v>3</v>
      </c>
      <c r="K15">
        <v>1</v>
      </c>
      <c r="L15">
        <f t="shared" si="0"/>
        <v>96</v>
      </c>
      <c r="M15">
        <f t="shared" si="1"/>
        <v>45</v>
      </c>
      <c r="N15">
        <f t="shared" si="2"/>
        <v>20</v>
      </c>
      <c r="O15">
        <f t="shared" si="3"/>
        <v>161</v>
      </c>
      <c r="P15">
        <v>4</v>
      </c>
      <c r="Q15" s="13" t="s">
        <v>116</v>
      </c>
      <c r="R15" s="13" t="s">
        <v>116</v>
      </c>
      <c r="S15" s="13" t="s">
        <v>116</v>
      </c>
      <c r="T15" s="13" t="s">
        <v>115</v>
      </c>
      <c r="U15" s="13" t="s">
        <v>117</v>
      </c>
      <c r="V15" s="13" t="s">
        <v>139</v>
      </c>
    </row>
    <row r="16" spans="1:22" x14ac:dyDescent="0.2">
      <c r="A16" s="13" t="s">
        <v>58</v>
      </c>
      <c r="B16" s="14">
        <v>44276.857245312502</v>
      </c>
      <c r="C16">
        <v>1.47</v>
      </c>
      <c r="D16" s="17">
        <v>31.45</v>
      </c>
      <c r="E16" s="17">
        <v>7</v>
      </c>
      <c r="F16" s="17">
        <v>18.16</v>
      </c>
      <c r="G16" s="17">
        <v>10.220000000000001</v>
      </c>
      <c r="H16" s="17">
        <v>44.43</v>
      </c>
      <c r="I16">
        <v>1</v>
      </c>
      <c r="J16">
        <v>1</v>
      </c>
      <c r="K16">
        <v>9</v>
      </c>
      <c r="L16">
        <f t="shared" si="0"/>
        <v>12</v>
      </c>
      <c r="M16">
        <f t="shared" si="1"/>
        <v>15</v>
      </c>
      <c r="N16">
        <f t="shared" si="2"/>
        <v>180</v>
      </c>
      <c r="O16">
        <f t="shared" si="3"/>
        <v>207</v>
      </c>
      <c r="P16">
        <v>9</v>
      </c>
      <c r="Q16" s="13" t="s">
        <v>116</v>
      </c>
      <c r="R16" s="13" t="s">
        <v>116</v>
      </c>
      <c r="S16" s="13" t="s">
        <v>115</v>
      </c>
      <c r="T16" s="13" t="s">
        <v>115</v>
      </c>
      <c r="U16" s="13" t="s">
        <v>117</v>
      </c>
      <c r="V16" s="13" t="s">
        <v>140</v>
      </c>
    </row>
    <row r="17" spans="1:22" x14ac:dyDescent="0.2">
      <c r="A17" s="13" t="s">
        <v>59</v>
      </c>
      <c r="B17" s="14">
        <v>44277.857245312502</v>
      </c>
      <c r="C17">
        <v>1.41</v>
      </c>
      <c r="D17" s="17">
        <v>49.17</v>
      </c>
      <c r="E17" s="17">
        <v>23.46</v>
      </c>
      <c r="F17" s="17">
        <v>31.94</v>
      </c>
      <c r="G17" s="17">
        <v>48.36</v>
      </c>
      <c r="H17" s="17">
        <v>30.69</v>
      </c>
      <c r="I17">
        <v>6</v>
      </c>
      <c r="J17">
        <v>0</v>
      </c>
      <c r="K17">
        <v>8</v>
      </c>
      <c r="L17">
        <f t="shared" si="0"/>
        <v>72</v>
      </c>
      <c r="M17">
        <f t="shared" si="1"/>
        <v>0</v>
      </c>
      <c r="N17">
        <f t="shared" si="2"/>
        <v>160</v>
      </c>
      <c r="O17">
        <f t="shared" si="3"/>
        <v>232</v>
      </c>
      <c r="P17">
        <v>9</v>
      </c>
      <c r="Q17" s="13" t="s">
        <v>116</v>
      </c>
      <c r="R17" s="13" t="s">
        <v>116</v>
      </c>
      <c r="S17" s="13" t="s">
        <v>115</v>
      </c>
      <c r="T17" s="13" t="s">
        <v>116</v>
      </c>
      <c r="U17" s="13" t="s">
        <v>116</v>
      </c>
      <c r="V17" s="13" t="s">
        <v>140</v>
      </c>
    </row>
    <row r="18" spans="1:22" x14ac:dyDescent="0.2">
      <c r="A18" s="13" t="s">
        <v>60</v>
      </c>
      <c r="B18" s="14">
        <v>44278.857245312502</v>
      </c>
      <c r="C18">
        <v>2.98</v>
      </c>
      <c r="D18" s="17">
        <v>31.11</v>
      </c>
      <c r="E18" s="17">
        <v>7.13</v>
      </c>
      <c r="F18" s="17">
        <v>1.84</v>
      </c>
      <c r="G18" s="17">
        <v>32.39</v>
      </c>
      <c r="H18" s="17">
        <v>43.78</v>
      </c>
      <c r="I18">
        <v>4</v>
      </c>
      <c r="J18">
        <v>6</v>
      </c>
      <c r="K18">
        <v>6</v>
      </c>
      <c r="L18">
        <f t="shared" si="0"/>
        <v>48</v>
      </c>
      <c r="M18">
        <f t="shared" si="1"/>
        <v>90</v>
      </c>
      <c r="N18">
        <f t="shared" si="2"/>
        <v>120</v>
      </c>
      <c r="O18">
        <f t="shared" si="3"/>
        <v>258</v>
      </c>
      <c r="P18">
        <v>0</v>
      </c>
      <c r="Q18" s="13" t="s">
        <v>116</v>
      </c>
      <c r="R18" s="13" t="s">
        <v>116</v>
      </c>
      <c r="S18" s="13" t="s">
        <v>116</v>
      </c>
      <c r="T18" s="13" t="s">
        <v>115</v>
      </c>
      <c r="U18" s="13" t="s">
        <v>115</v>
      </c>
      <c r="V18" s="13" t="s">
        <v>145</v>
      </c>
    </row>
    <row r="19" spans="1:22" x14ac:dyDescent="0.2">
      <c r="A19" s="13" t="s">
        <v>61</v>
      </c>
      <c r="B19" s="14">
        <v>44279.857245312502</v>
      </c>
      <c r="C19">
        <v>1.08</v>
      </c>
      <c r="D19" s="17">
        <v>23.17</v>
      </c>
      <c r="E19" s="17">
        <v>21.72</v>
      </c>
      <c r="F19" s="17">
        <v>9.17</v>
      </c>
      <c r="G19" s="17">
        <v>29.35</v>
      </c>
      <c r="H19" s="17">
        <v>44.31</v>
      </c>
      <c r="I19">
        <v>5</v>
      </c>
      <c r="J19">
        <v>7</v>
      </c>
      <c r="K19">
        <v>8</v>
      </c>
      <c r="L19">
        <f t="shared" si="0"/>
        <v>60</v>
      </c>
      <c r="M19">
        <f t="shared" si="1"/>
        <v>105</v>
      </c>
      <c r="N19">
        <f t="shared" si="2"/>
        <v>160</v>
      </c>
      <c r="O19">
        <f t="shared" si="3"/>
        <v>325</v>
      </c>
      <c r="P19">
        <v>5</v>
      </c>
      <c r="Q19" s="13" t="s">
        <v>116</v>
      </c>
      <c r="R19" s="13" t="s">
        <v>115</v>
      </c>
      <c r="S19" s="13" t="s">
        <v>115</v>
      </c>
      <c r="T19" s="13" t="s">
        <v>115</v>
      </c>
      <c r="U19" s="13" t="s">
        <v>115</v>
      </c>
      <c r="V19" s="13" t="s">
        <v>145</v>
      </c>
    </row>
    <row r="20" spans="1:22" x14ac:dyDescent="0.2">
      <c r="A20" s="13" t="s">
        <v>62</v>
      </c>
      <c r="B20" s="14">
        <v>44280.857245312502</v>
      </c>
      <c r="C20">
        <v>2.19</v>
      </c>
      <c r="D20" s="17">
        <v>8.6</v>
      </c>
      <c r="E20" s="17">
        <v>35.950000000000003</v>
      </c>
      <c r="F20" s="17">
        <v>20.23</v>
      </c>
      <c r="G20" s="17">
        <v>15.99</v>
      </c>
      <c r="H20" s="17">
        <v>18.41</v>
      </c>
      <c r="I20">
        <v>8</v>
      </c>
      <c r="J20">
        <v>10</v>
      </c>
      <c r="K20">
        <v>5</v>
      </c>
      <c r="L20">
        <f t="shared" si="0"/>
        <v>96</v>
      </c>
      <c r="M20">
        <f t="shared" si="1"/>
        <v>150</v>
      </c>
      <c r="N20">
        <f t="shared" si="2"/>
        <v>100</v>
      </c>
      <c r="O20">
        <f t="shared" si="3"/>
        <v>346</v>
      </c>
      <c r="P20">
        <v>4</v>
      </c>
      <c r="Q20" s="13" t="s">
        <v>115</v>
      </c>
      <c r="R20" s="13" t="s">
        <v>116</v>
      </c>
      <c r="S20" s="13" t="s">
        <v>115</v>
      </c>
      <c r="T20" s="13" t="s">
        <v>116</v>
      </c>
      <c r="U20" s="13" t="s">
        <v>116</v>
      </c>
      <c r="V20" s="13" t="s">
        <v>139</v>
      </c>
    </row>
    <row r="21" spans="1:22" x14ac:dyDescent="0.2">
      <c r="A21" s="13" t="s">
        <v>63</v>
      </c>
      <c r="B21" s="14">
        <v>44281.857245312502</v>
      </c>
      <c r="C21">
        <v>2.19</v>
      </c>
      <c r="D21" s="17">
        <v>41.53</v>
      </c>
      <c r="E21" s="17">
        <v>36.99</v>
      </c>
      <c r="F21" s="17">
        <v>16.14</v>
      </c>
      <c r="G21" s="17">
        <v>29.24</v>
      </c>
      <c r="H21" s="17">
        <v>13.76</v>
      </c>
      <c r="I21">
        <v>6</v>
      </c>
      <c r="J21">
        <v>10</v>
      </c>
      <c r="K21">
        <v>5</v>
      </c>
      <c r="L21">
        <f t="shared" si="0"/>
        <v>72</v>
      </c>
      <c r="M21">
        <f t="shared" si="1"/>
        <v>150</v>
      </c>
      <c r="N21">
        <f t="shared" si="2"/>
        <v>100</v>
      </c>
      <c r="O21">
        <f t="shared" si="3"/>
        <v>322</v>
      </c>
      <c r="P21">
        <v>3</v>
      </c>
      <c r="Q21" s="13" t="s">
        <v>116</v>
      </c>
      <c r="R21" s="13" t="s">
        <v>115</v>
      </c>
      <c r="S21" s="13" t="s">
        <v>115</v>
      </c>
      <c r="T21" s="13" t="s">
        <v>116</v>
      </c>
      <c r="U21" s="13" t="s">
        <v>115</v>
      </c>
      <c r="V21" s="13" t="s">
        <v>145</v>
      </c>
    </row>
    <row r="22" spans="1:22" x14ac:dyDescent="0.2">
      <c r="A22" s="13" t="s">
        <v>64</v>
      </c>
      <c r="B22" s="14">
        <v>44282.857245312502</v>
      </c>
      <c r="C22">
        <v>3.7</v>
      </c>
      <c r="D22" s="17">
        <v>12.62</v>
      </c>
      <c r="E22" s="17">
        <v>11.55</v>
      </c>
      <c r="F22" s="17">
        <v>47.03</v>
      </c>
      <c r="G22" s="17">
        <v>14.05</v>
      </c>
      <c r="H22" s="17">
        <v>16.63</v>
      </c>
      <c r="I22">
        <v>6</v>
      </c>
      <c r="J22">
        <v>5</v>
      </c>
      <c r="K22">
        <v>2</v>
      </c>
      <c r="L22">
        <f t="shared" si="0"/>
        <v>72</v>
      </c>
      <c r="M22">
        <f t="shared" si="1"/>
        <v>75</v>
      </c>
      <c r="N22">
        <f t="shared" si="2"/>
        <v>40</v>
      </c>
      <c r="O22">
        <f t="shared" si="3"/>
        <v>187</v>
      </c>
      <c r="P22">
        <v>5</v>
      </c>
      <c r="Q22" s="13" t="s">
        <v>116</v>
      </c>
      <c r="R22" s="13" t="s">
        <v>116</v>
      </c>
      <c r="S22" s="13" t="s">
        <v>115</v>
      </c>
      <c r="T22" s="13" t="s">
        <v>115</v>
      </c>
      <c r="U22" s="13" t="s">
        <v>115</v>
      </c>
      <c r="V22" s="13" t="s">
        <v>145</v>
      </c>
    </row>
    <row r="23" spans="1:22" x14ac:dyDescent="0.2">
      <c r="A23" s="13" t="s">
        <v>65</v>
      </c>
      <c r="B23" s="14">
        <v>44283.857245312502</v>
      </c>
      <c r="C23">
        <v>2.9</v>
      </c>
      <c r="D23" s="17">
        <v>26.64</v>
      </c>
      <c r="E23" s="17">
        <v>10.75</v>
      </c>
      <c r="F23" s="17">
        <v>34.74</v>
      </c>
      <c r="G23" s="17">
        <v>27.78</v>
      </c>
      <c r="H23" s="17">
        <v>29.85</v>
      </c>
      <c r="I23">
        <v>9</v>
      </c>
      <c r="J23">
        <v>7</v>
      </c>
      <c r="K23">
        <v>3</v>
      </c>
      <c r="L23">
        <f t="shared" si="0"/>
        <v>108</v>
      </c>
      <c r="M23">
        <f t="shared" si="1"/>
        <v>105</v>
      </c>
      <c r="N23">
        <f t="shared" si="2"/>
        <v>60</v>
      </c>
      <c r="O23">
        <f t="shared" si="3"/>
        <v>273</v>
      </c>
      <c r="P23">
        <v>7</v>
      </c>
      <c r="Q23" s="13" t="s">
        <v>116</v>
      </c>
      <c r="R23" s="13" t="s">
        <v>116</v>
      </c>
      <c r="S23" s="13" t="s">
        <v>115</v>
      </c>
      <c r="T23" s="13" t="s">
        <v>116</v>
      </c>
      <c r="U23" s="13" t="s">
        <v>116</v>
      </c>
      <c r="V23" s="13" t="s">
        <v>140</v>
      </c>
    </row>
    <row r="24" spans="1:22" x14ac:dyDescent="0.2">
      <c r="A24" s="13" t="s">
        <v>66</v>
      </c>
      <c r="B24" s="14">
        <v>44284.857245312502</v>
      </c>
      <c r="C24">
        <v>3.27</v>
      </c>
      <c r="D24" s="17">
        <v>39.06</v>
      </c>
      <c r="E24" s="17">
        <v>25.89</v>
      </c>
      <c r="F24" s="17">
        <v>17.13</v>
      </c>
      <c r="G24" s="17">
        <v>10.48</v>
      </c>
      <c r="H24" s="17">
        <v>49.39</v>
      </c>
      <c r="I24">
        <v>7</v>
      </c>
      <c r="J24">
        <v>3</v>
      </c>
      <c r="K24">
        <v>8</v>
      </c>
      <c r="L24">
        <f t="shared" si="0"/>
        <v>84</v>
      </c>
      <c r="M24">
        <f t="shared" si="1"/>
        <v>45</v>
      </c>
      <c r="N24">
        <f t="shared" si="2"/>
        <v>160</v>
      </c>
      <c r="O24">
        <f t="shared" si="3"/>
        <v>289</v>
      </c>
      <c r="P24">
        <v>2</v>
      </c>
      <c r="Q24" s="13" t="s">
        <v>116</v>
      </c>
      <c r="R24" s="13" t="s">
        <v>115</v>
      </c>
      <c r="S24" s="13" t="s">
        <v>115</v>
      </c>
      <c r="T24" s="13" t="s">
        <v>115</v>
      </c>
      <c r="U24" s="13" t="s">
        <v>115</v>
      </c>
      <c r="V24" s="13" t="s">
        <v>145</v>
      </c>
    </row>
    <row r="25" spans="1:22" x14ac:dyDescent="0.2">
      <c r="A25" s="13" t="s">
        <v>67</v>
      </c>
      <c r="B25" s="14">
        <v>44285.857245312502</v>
      </c>
      <c r="C25">
        <v>3.96</v>
      </c>
      <c r="D25" s="17">
        <v>40.549999999999997</v>
      </c>
      <c r="E25" s="17">
        <v>48.7</v>
      </c>
      <c r="F25" s="17">
        <v>17.79</v>
      </c>
      <c r="G25" s="17">
        <v>1.28</v>
      </c>
      <c r="H25" s="17">
        <v>11.77</v>
      </c>
      <c r="I25">
        <v>9</v>
      </c>
      <c r="J25">
        <v>5</v>
      </c>
      <c r="K25">
        <v>7</v>
      </c>
      <c r="L25">
        <f t="shared" si="0"/>
        <v>108</v>
      </c>
      <c r="M25">
        <f t="shared" si="1"/>
        <v>75</v>
      </c>
      <c r="N25">
        <f t="shared" si="2"/>
        <v>140</v>
      </c>
      <c r="O25">
        <f t="shared" si="3"/>
        <v>323</v>
      </c>
      <c r="P25">
        <v>2</v>
      </c>
      <c r="Q25" s="13" t="s">
        <v>116</v>
      </c>
      <c r="R25" s="13" t="s">
        <v>116</v>
      </c>
      <c r="S25" s="13" t="s">
        <v>115</v>
      </c>
      <c r="T25" s="13" t="s">
        <v>115</v>
      </c>
      <c r="U25" s="13" t="s">
        <v>115</v>
      </c>
      <c r="V25" s="13" t="s">
        <v>145</v>
      </c>
    </row>
    <row r="26" spans="1:22" x14ac:dyDescent="0.2">
      <c r="A26" s="13" t="s">
        <v>68</v>
      </c>
      <c r="B26" s="14">
        <v>44286.857245312502</v>
      </c>
      <c r="C26">
        <v>1.83</v>
      </c>
      <c r="D26" s="17">
        <v>19.440000000000001</v>
      </c>
      <c r="E26" s="17">
        <v>10.67</v>
      </c>
      <c r="F26" s="17">
        <v>23.02</v>
      </c>
      <c r="G26" s="17">
        <v>7.11</v>
      </c>
      <c r="H26" s="17">
        <v>21.97</v>
      </c>
      <c r="I26">
        <v>8</v>
      </c>
      <c r="J26">
        <v>6</v>
      </c>
      <c r="K26">
        <v>10</v>
      </c>
      <c r="L26">
        <f t="shared" si="0"/>
        <v>96</v>
      </c>
      <c r="M26">
        <f t="shared" si="1"/>
        <v>90</v>
      </c>
      <c r="N26">
        <f t="shared" si="2"/>
        <v>200</v>
      </c>
      <c r="O26">
        <f t="shared" si="3"/>
        <v>386</v>
      </c>
      <c r="P26">
        <v>7</v>
      </c>
      <c r="Q26" s="13" t="s">
        <v>116</v>
      </c>
      <c r="R26" s="13" t="s">
        <v>116</v>
      </c>
      <c r="S26" s="13" t="s">
        <v>116</v>
      </c>
      <c r="T26" s="13" t="s">
        <v>115</v>
      </c>
      <c r="U26" s="13" t="s">
        <v>115</v>
      </c>
      <c r="V26" s="13" t="s">
        <v>145</v>
      </c>
    </row>
    <row r="27" spans="1:22" x14ac:dyDescent="0.2">
      <c r="A27" s="13" t="s">
        <v>69</v>
      </c>
      <c r="B27" s="14">
        <v>44287.857245312502</v>
      </c>
      <c r="C27">
        <v>0.33</v>
      </c>
      <c r="D27" s="17">
        <v>29.5</v>
      </c>
      <c r="E27" s="17">
        <v>0.93</v>
      </c>
      <c r="F27" s="17">
        <v>15.5</v>
      </c>
      <c r="G27" s="17">
        <v>15.37</v>
      </c>
      <c r="H27" s="17">
        <v>5.27</v>
      </c>
      <c r="I27">
        <v>4</v>
      </c>
      <c r="J27">
        <v>6</v>
      </c>
      <c r="K27">
        <v>2</v>
      </c>
      <c r="L27">
        <f t="shared" si="0"/>
        <v>48</v>
      </c>
      <c r="M27">
        <f t="shared" si="1"/>
        <v>90</v>
      </c>
      <c r="N27">
        <f t="shared" si="2"/>
        <v>40</v>
      </c>
      <c r="O27">
        <f t="shared" si="3"/>
        <v>178</v>
      </c>
      <c r="P27">
        <v>7</v>
      </c>
      <c r="Q27" s="13" t="s">
        <v>115</v>
      </c>
      <c r="R27" s="13" t="s">
        <v>115</v>
      </c>
      <c r="S27" s="13" t="s">
        <v>115</v>
      </c>
      <c r="T27" s="13" t="s">
        <v>116</v>
      </c>
      <c r="U27" s="13" t="s">
        <v>115</v>
      </c>
      <c r="V27" s="13" t="s">
        <v>145</v>
      </c>
    </row>
    <row r="28" spans="1:22" x14ac:dyDescent="0.2">
      <c r="A28" s="13" t="s">
        <v>70</v>
      </c>
      <c r="B28" s="14">
        <v>44288.857245312502</v>
      </c>
      <c r="C28">
        <v>2.89</v>
      </c>
      <c r="D28" s="17">
        <v>26.09</v>
      </c>
      <c r="E28" s="17">
        <v>0.52</v>
      </c>
      <c r="F28" s="17">
        <v>41.35</v>
      </c>
      <c r="G28" s="17">
        <v>46.95</v>
      </c>
      <c r="H28" s="17">
        <v>44.76</v>
      </c>
      <c r="I28">
        <v>3</v>
      </c>
      <c r="J28">
        <v>9</v>
      </c>
      <c r="K28">
        <v>5</v>
      </c>
      <c r="L28">
        <f t="shared" si="0"/>
        <v>36</v>
      </c>
      <c r="M28">
        <f t="shared" si="1"/>
        <v>135</v>
      </c>
      <c r="N28">
        <f t="shared" si="2"/>
        <v>100</v>
      </c>
      <c r="O28">
        <f t="shared" si="3"/>
        <v>271</v>
      </c>
      <c r="P28">
        <v>4</v>
      </c>
      <c r="Q28" s="13" t="s">
        <v>116</v>
      </c>
      <c r="R28" s="13" t="s">
        <v>115</v>
      </c>
      <c r="S28" s="13" t="s">
        <v>115</v>
      </c>
      <c r="T28" s="13" t="s">
        <v>115</v>
      </c>
      <c r="U28" s="13" t="s">
        <v>115</v>
      </c>
      <c r="V28" s="13" t="s">
        <v>145</v>
      </c>
    </row>
    <row r="29" spans="1:22" x14ac:dyDescent="0.2">
      <c r="A29" s="13" t="s">
        <v>71</v>
      </c>
      <c r="B29" s="14">
        <v>44289.857245312502</v>
      </c>
      <c r="C29">
        <v>1.05</v>
      </c>
      <c r="D29" s="17">
        <v>14.88</v>
      </c>
      <c r="E29" s="17">
        <v>47.23</v>
      </c>
      <c r="F29" s="17">
        <v>9.0500000000000007</v>
      </c>
      <c r="G29" s="17">
        <v>30.71</v>
      </c>
      <c r="H29" s="17">
        <v>16.82</v>
      </c>
      <c r="I29">
        <v>7</v>
      </c>
      <c r="J29">
        <v>0</v>
      </c>
      <c r="K29">
        <v>9</v>
      </c>
      <c r="L29">
        <f t="shared" si="0"/>
        <v>84</v>
      </c>
      <c r="M29">
        <f t="shared" si="1"/>
        <v>0</v>
      </c>
      <c r="N29">
        <f t="shared" si="2"/>
        <v>180</v>
      </c>
      <c r="O29">
        <f t="shared" si="3"/>
        <v>264</v>
      </c>
      <c r="P29">
        <v>6</v>
      </c>
      <c r="Q29" s="13" t="s">
        <v>116</v>
      </c>
      <c r="R29" s="13" t="s">
        <v>116</v>
      </c>
      <c r="S29" s="13" t="s">
        <v>115</v>
      </c>
      <c r="T29" s="13" t="s">
        <v>116</v>
      </c>
      <c r="U29" s="13" t="s">
        <v>115</v>
      </c>
      <c r="V29" s="13" t="s">
        <v>145</v>
      </c>
    </row>
    <row r="30" spans="1:22" x14ac:dyDescent="0.2">
      <c r="A30" s="13" t="s">
        <v>72</v>
      </c>
      <c r="B30" s="14">
        <v>44290.857245312502</v>
      </c>
      <c r="C30">
        <v>0.41</v>
      </c>
      <c r="D30" s="17">
        <v>25.34</v>
      </c>
      <c r="E30" s="17">
        <v>17</v>
      </c>
      <c r="F30" s="17">
        <v>28.94</v>
      </c>
      <c r="G30" s="17">
        <v>8.23</v>
      </c>
      <c r="H30" s="17">
        <v>37.65</v>
      </c>
      <c r="I30">
        <v>1</v>
      </c>
      <c r="J30">
        <v>3</v>
      </c>
      <c r="K30">
        <v>6</v>
      </c>
      <c r="L30">
        <f t="shared" si="0"/>
        <v>12</v>
      </c>
      <c r="M30">
        <f t="shared" si="1"/>
        <v>45</v>
      </c>
      <c r="N30">
        <f t="shared" si="2"/>
        <v>120</v>
      </c>
      <c r="O30">
        <f t="shared" si="3"/>
        <v>177</v>
      </c>
      <c r="P30">
        <v>3</v>
      </c>
      <c r="Q30" s="13" t="s">
        <v>116</v>
      </c>
      <c r="R30" s="13" t="s">
        <v>115</v>
      </c>
      <c r="S30" s="13" t="s">
        <v>115</v>
      </c>
      <c r="T30" s="13" t="s">
        <v>116</v>
      </c>
      <c r="U30" s="13" t="s">
        <v>115</v>
      </c>
      <c r="V30" s="13" t="s">
        <v>145</v>
      </c>
    </row>
    <row r="31" spans="1:22" x14ac:dyDescent="0.2">
      <c r="A31" s="13" t="s">
        <v>73</v>
      </c>
      <c r="B31" s="14">
        <v>44291.857245312502</v>
      </c>
      <c r="C31">
        <v>2.68</v>
      </c>
      <c r="D31" s="17">
        <v>28.96</v>
      </c>
      <c r="E31" s="17">
        <v>12.36</v>
      </c>
      <c r="F31" s="17">
        <v>41.5</v>
      </c>
      <c r="G31" s="17">
        <v>48.69</v>
      </c>
      <c r="H31" s="17">
        <v>13.2</v>
      </c>
      <c r="I31">
        <v>1</v>
      </c>
      <c r="J31">
        <v>7</v>
      </c>
      <c r="K31">
        <v>8</v>
      </c>
      <c r="L31">
        <f t="shared" si="0"/>
        <v>12</v>
      </c>
      <c r="M31">
        <f t="shared" si="1"/>
        <v>105</v>
      </c>
      <c r="N31">
        <f t="shared" si="2"/>
        <v>160</v>
      </c>
      <c r="O31">
        <f t="shared" si="3"/>
        <v>277</v>
      </c>
      <c r="P31">
        <v>3</v>
      </c>
      <c r="Q31" s="13" t="s">
        <v>115</v>
      </c>
      <c r="R31" s="13" t="s">
        <v>116</v>
      </c>
      <c r="S31" s="13" t="s">
        <v>115</v>
      </c>
      <c r="T31" s="13" t="s">
        <v>115</v>
      </c>
      <c r="U31" s="13" t="s">
        <v>115</v>
      </c>
      <c r="V31" s="13" t="s">
        <v>145</v>
      </c>
    </row>
    <row r="32" spans="1:22" x14ac:dyDescent="0.2">
      <c r="A32" s="13" t="s">
        <v>74</v>
      </c>
      <c r="B32" s="14">
        <v>44292.857245312502</v>
      </c>
      <c r="C32">
        <v>0.27</v>
      </c>
      <c r="D32" s="17">
        <v>5.14</v>
      </c>
      <c r="E32" s="17">
        <v>17.37</v>
      </c>
      <c r="F32" s="17">
        <v>4.4000000000000004</v>
      </c>
      <c r="G32" s="17">
        <v>17.329999999999998</v>
      </c>
      <c r="H32" s="17">
        <v>21.59</v>
      </c>
      <c r="I32">
        <v>2</v>
      </c>
      <c r="J32">
        <v>0</v>
      </c>
      <c r="K32">
        <v>8</v>
      </c>
      <c r="L32">
        <f t="shared" si="0"/>
        <v>24</v>
      </c>
      <c r="M32">
        <f t="shared" si="1"/>
        <v>0</v>
      </c>
      <c r="N32">
        <f t="shared" si="2"/>
        <v>160</v>
      </c>
      <c r="O32">
        <f t="shared" si="3"/>
        <v>184</v>
      </c>
      <c r="P32">
        <v>2</v>
      </c>
      <c r="Q32" s="13" t="s">
        <v>116</v>
      </c>
      <c r="R32" s="13" t="s">
        <v>116</v>
      </c>
      <c r="S32" s="13" t="s">
        <v>116</v>
      </c>
      <c r="T32" s="13" t="s">
        <v>116</v>
      </c>
      <c r="U32" s="13" t="s">
        <v>116</v>
      </c>
      <c r="V32" s="13" t="s">
        <v>139</v>
      </c>
    </row>
    <row r="33" spans="1:22" x14ac:dyDescent="0.2">
      <c r="A33" s="13" t="s">
        <v>75</v>
      </c>
      <c r="B33" s="14">
        <v>44293.857245312502</v>
      </c>
      <c r="C33">
        <v>2.3199999999999998</v>
      </c>
      <c r="D33" s="17">
        <v>34.700000000000003</v>
      </c>
      <c r="E33" s="17">
        <v>37.729999999999997</v>
      </c>
      <c r="F33" s="17">
        <v>20.28</v>
      </c>
      <c r="G33" s="17">
        <v>5.37</v>
      </c>
      <c r="H33" s="17">
        <v>5.86</v>
      </c>
      <c r="I33">
        <v>10</v>
      </c>
      <c r="J33">
        <v>10</v>
      </c>
      <c r="K33">
        <v>9</v>
      </c>
      <c r="L33">
        <f t="shared" si="0"/>
        <v>120</v>
      </c>
      <c r="M33">
        <f t="shared" si="1"/>
        <v>150</v>
      </c>
      <c r="N33">
        <f t="shared" si="2"/>
        <v>180</v>
      </c>
      <c r="O33">
        <f t="shared" si="3"/>
        <v>450</v>
      </c>
      <c r="P33">
        <v>7</v>
      </c>
      <c r="Q33" s="13" t="s">
        <v>115</v>
      </c>
      <c r="R33" s="13" t="s">
        <v>115</v>
      </c>
      <c r="S33" s="13" t="s">
        <v>116</v>
      </c>
      <c r="T33" s="13" t="s">
        <v>115</v>
      </c>
      <c r="U33" s="13" t="s">
        <v>115</v>
      </c>
      <c r="V33" s="13" t="s">
        <v>145</v>
      </c>
    </row>
    <row r="34" spans="1:22" x14ac:dyDescent="0.2">
      <c r="A34" s="13" t="s">
        <v>76</v>
      </c>
      <c r="B34" s="14">
        <v>44294.857245312502</v>
      </c>
      <c r="C34">
        <v>1.44</v>
      </c>
      <c r="D34" s="17">
        <v>47.79</v>
      </c>
      <c r="E34" s="17">
        <v>37.97</v>
      </c>
      <c r="F34" s="17">
        <v>27.18</v>
      </c>
      <c r="G34" s="17">
        <v>14.07</v>
      </c>
      <c r="H34" s="17">
        <v>0.73</v>
      </c>
      <c r="I34">
        <v>5</v>
      </c>
      <c r="J34">
        <v>6</v>
      </c>
      <c r="K34">
        <v>4</v>
      </c>
      <c r="L34">
        <f t="shared" si="0"/>
        <v>60</v>
      </c>
      <c r="M34">
        <f t="shared" si="1"/>
        <v>90</v>
      </c>
      <c r="N34">
        <f t="shared" si="2"/>
        <v>80</v>
      </c>
      <c r="O34">
        <f t="shared" si="3"/>
        <v>230</v>
      </c>
      <c r="P34">
        <v>4</v>
      </c>
      <c r="Q34" s="13" t="s">
        <v>116</v>
      </c>
      <c r="R34" s="13" t="s">
        <v>116</v>
      </c>
      <c r="S34" s="13" t="s">
        <v>115</v>
      </c>
      <c r="T34" s="13" t="s">
        <v>115</v>
      </c>
      <c r="U34" s="13" t="s">
        <v>115</v>
      </c>
      <c r="V34" s="13" t="s">
        <v>145</v>
      </c>
    </row>
    <row r="35" spans="1:22" x14ac:dyDescent="0.2">
      <c r="A35" s="13" t="s">
        <v>77</v>
      </c>
      <c r="B35" s="14">
        <v>44295.857245312502</v>
      </c>
      <c r="C35">
        <v>1.98</v>
      </c>
      <c r="D35" s="17">
        <v>21.77</v>
      </c>
      <c r="E35" s="17">
        <v>29.53</v>
      </c>
      <c r="F35" s="17">
        <v>24.73</v>
      </c>
      <c r="G35" s="17">
        <v>16.329999999999998</v>
      </c>
      <c r="H35" s="17">
        <v>45.87</v>
      </c>
      <c r="I35">
        <v>0</v>
      </c>
      <c r="J35">
        <v>9</v>
      </c>
      <c r="K35">
        <v>8</v>
      </c>
      <c r="L35">
        <f t="shared" si="0"/>
        <v>0</v>
      </c>
      <c r="M35">
        <f t="shared" si="1"/>
        <v>135</v>
      </c>
      <c r="N35">
        <f t="shared" si="2"/>
        <v>160</v>
      </c>
      <c r="O35">
        <f t="shared" si="3"/>
        <v>295</v>
      </c>
      <c r="P35">
        <v>2</v>
      </c>
      <c r="Q35" s="13" t="s">
        <v>116</v>
      </c>
      <c r="R35" s="13" t="s">
        <v>116</v>
      </c>
      <c r="S35" s="13" t="s">
        <v>115</v>
      </c>
      <c r="T35" s="13" t="s">
        <v>115</v>
      </c>
      <c r="U35" s="13" t="s">
        <v>116</v>
      </c>
      <c r="V35" s="13" t="s">
        <v>141</v>
      </c>
    </row>
    <row r="36" spans="1:22" x14ac:dyDescent="0.2">
      <c r="A36" s="13" t="s">
        <v>78</v>
      </c>
      <c r="B36" s="14">
        <v>44296.857245312502</v>
      </c>
      <c r="C36">
        <v>0.64</v>
      </c>
      <c r="D36" s="17">
        <v>29.66</v>
      </c>
      <c r="E36" s="17">
        <v>30.44</v>
      </c>
      <c r="F36" s="17">
        <v>5.39</v>
      </c>
      <c r="G36" s="17">
        <v>28.1</v>
      </c>
      <c r="H36" s="17">
        <v>46.45</v>
      </c>
      <c r="I36">
        <v>7</v>
      </c>
      <c r="J36">
        <v>3</v>
      </c>
      <c r="K36">
        <v>7</v>
      </c>
      <c r="L36">
        <f t="shared" si="0"/>
        <v>84</v>
      </c>
      <c r="M36">
        <f t="shared" si="1"/>
        <v>45</v>
      </c>
      <c r="N36">
        <f t="shared" si="2"/>
        <v>140</v>
      </c>
      <c r="O36">
        <f t="shared" si="3"/>
        <v>269</v>
      </c>
      <c r="P36">
        <v>4</v>
      </c>
      <c r="Q36" s="13" t="s">
        <v>115</v>
      </c>
      <c r="R36" s="13" t="s">
        <v>116</v>
      </c>
      <c r="S36" s="13" t="s">
        <v>115</v>
      </c>
      <c r="T36" s="13" t="s">
        <v>116</v>
      </c>
      <c r="U36" s="13" t="s">
        <v>116</v>
      </c>
      <c r="V36" s="13" t="s">
        <v>140</v>
      </c>
    </row>
    <row r="37" spans="1:22" x14ac:dyDescent="0.2">
      <c r="A37" s="13" t="s">
        <v>79</v>
      </c>
      <c r="B37" s="14">
        <v>44297.857245312502</v>
      </c>
      <c r="C37">
        <v>2.4300000000000002</v>
      </c>
      <c r="D37" s="17">
        <v>43.34</v>
      </c>
      <c r="E37" s="17">
        <v>45</v>
      </c>
      <c r="F37" s="17">
        <v>28.3</v>
      </c>
      <c r="G37" s="17">
        <v>9.52</v>
      </c>
      <c r="H37" s="17">
        <v>21.13</v>
      </c>
      <c r="I37">
        <v>5</v>
      </c>
      <c r="J37">
        <v>2</v>
      </c>
      <c r="K37">
        <v>10</v>
      </c>
      <c r="L37">
        <f t="shared" si="0"/>
        <v>60</v>
      </c>
      <c r="M37">
        <f t="shared" si="1"/>
        <v>30</v>
      </c>
      <c r="N37">
        <f t="shared" si="2"/>
        <v>200</v>
      </c>
      <c r="O37">
        <f t="shared" si="3"/>
        <v>290</v>
      </c>
      <c r="P37">
        <v>9</v>
      </c>
      <c r="Q37" s="13" t="s">
        <v>116</v>
      </c>
      <c r="R37" s="13" t="s">
        <v>116</v>
      </c>
      <c r="S37" s="13" t="s">
        <v>115</v>
      </c>
      <c r="T37" s="13" t="s">
        <v>115</v>
      </c>
      <c r="U37" s="13" t="s">
        <v>116</v>
      </c>
      <c r="V37" s="13" t="s">
        <v>139</v>
      </c>
    </row>
    <row r="38" spans="1:22" x14ac:dyDescent="0.2">
      <c r="A38" s="13" t="s">
        <v>80</v>
      </c>
      <c r="B38" s="14">
        <v>44298.857245312502</v>
      </c>
      <c r="C38">
        <v>3.39</v>
      </c>
      <c r="D38" s="17">
        <v>34.479999999999997</v>
      </c>
      <c r="E38" s="17">
        <v>27.47</v>
      </c>
      <c r="F38" s="17">
        <v>18.2</v>
      </c>
      <c r="G38" s="17">
        <v>18.989999999999998</v>
      </c>
      <c r="H38" s="17">
        <v>14.02</v>
      </c>
      <c r="I38">
        <v>0</v>
      </c>
      <c r="J38">
        <v>4</v>
      </c>
      <c r="K38">
        <v>3</v>
      </c>
      <c r="L38">
        <f t="shared" si="0"/>
        <v>0</v>
      </c>
      <c r="M38">
        <f t="shared" si="1"/>
        <v>60</v>
      </c>
      <c r="N38">
        <f t="shared" si="2"/>
        <v>60</v>
      </c>
      <c r="O38">
        <f t="shared" si="3"/>
        <v>120</v>
      </c>
      <c r="P38">
        <v>1</v>
      </c>
      <c r="Q38" s="13" t="s">
        <v>116</v>
      </c>
      <c r="R38" s="13" t="s">
        <v>115</v>
      </c>
      <c r="S38" s="13" t="s">
        <v>115</v>
      </c>
      <c r="T38" s="13" t="s">
        <v>116</v>
      </c>
      <c r="U38" s="13" t="s">
        <v>116</v>
      </c>
      <c r="V38" s="13" t="s">
        <v>139</v>
      </c>
    </row>
    <row r="39" spans="1:22" x14ac:dyDescent="0.2">
      <c r="A39" s="13" t="s">
        <v>81</v>
      </c>
      <c r="B39" s="14">
        <v>44299.857245312502</v>
      </c>
      <c r="C39">
        <v>3.62</v>
      </c>
      <c r="D39" s="17">
        <v>13.01</v>
      </c>
      <c r="E39" s="17">
        <v>33.79</v>
      </c>
      <c r="F39" s="17">
        <v>8.18</v>
      </c>
      <c r="G39" s="17">
        <v>43.61</v>
      </c>
      <c r="H39" s="17">
        <v>24.86</v>
      </c>
      <c r="I39">
        <v>8</v>
      </c>
      <c r="J39">
        <v>2</v>
      </c>
      <c r="K39">
        <v>8</v>
      </c>
      <c r="L39">
        <f t="shared" si="0"/>
        <v>96</v>
      </c>
      <c r="M39">
        <f t="shared" si="1"/>
        <v>30</v>
      </c>
      <c r="N39">
        <f t="shared" si="2"/>
        <v>160</v>
      </c>
      <c r="O39">
        <f t="shared" si="3"/>
        <v>286</v>
      </c>
      <c r="P39">
        <v>5</v>
      </c>
      <c r="Q39" s="13" t="s">
        <v>116</v>
      </c>
      <c r="R39" s="13" t="s">
        <v>115</v>
      </c>
      <c r="S39" s="13" t="s">
        <v>116</v>
      </c>
      <c r="T39" s="13" t="s">
        <v>116</v>
      </c>
      <c r="U39" s="13" t="s">
        <v>116</v>
      </c>
      <c r="V39" s="13" t="s">
        <v>139</v>
      </c>
    </row>
    <row r="40" spans="1:22" x14ac:dyDescent="0.2">
      <c r="A40" s="13" t="s">
        <v>82</v>
      </c>
      <c r="B40" s="14">
        <v>44300.857245312502</v>
      </c>
      <c r="C40">
        <v>2.2400000000000002</v>
      </c>
      <c r="D40" s="17">
        <v>42.91</v>
      </c>
      <c r="E40" s="17">
        <v>24.1</v>
      </c>
      <c r="F40" s="17">
        <v>45.94</v>
      </c>
      <c r="G40" s="17">
        <v>37.950000000000003</v>
      </c>
      <c r="H40" s="17">
        <v>24.08</v>
      </c>
      <c r="I40">
        <v>2</v>
      </c>
      <c r="J40">
        <v>4</v>
      </c>
      <c r="K40">
        <v>8</v>
      </c>
      <c r="L40">
        <f t="shared" si="0"/>
        <v>24</v>
      </c>
      <c r="M40">
        <f t="shared" si="1"/>
        <v>60</v>
      </c>
      <c r="N40">
        <f t="shared" si="2"/>
        <v>160</v>
      </c>
      <c r="O40">
        <f t="shared" si="3"/>
        <v>244</v>
      </c>
      <c r="P40">
        <v>9</v>
      </c>
      <c r="Q40" s="13" t="s">
        <v>115</v>
      </c>
      <c r="R40" s="13" t="s">
        <v>116</v>
      </c>
      <c r="S40" s="13" t="s">
        <v>115</v>
      </c>
      <c r="T40" s="13" t="s">
        <v>116</v>
      </c>
      <c r="U40" s="13" t="s">
        <v>115</v>
      </c>
      <c r="V40" s="13" t="s">
        <v>145</v>
      </c>
    </row>
    <row r="41" spans="1:22" x14ac:dyDescent="0.2">
      <c r="A41" s="13" t="s">
        <v>83</v>
      </c>
      <c r="B41" s="14">
        <v>44301.857245312502</v>
      </c>
      <c r="C41">
        <v>0.21</v>
      </c>
      <c r="D41" s="17">
        <v>16.55</v>
      </c>
      <c r="E41" s="17">
        <v>48.62</v>
      </c>
      <c r="F41" s="17">
        <v>49.55</v>
      </c>
      <c r="G41" s="17">
        <v>44.64</v>
      </c>
      <c r="H41" s="17">
        <v>36.450000000000003</v>
      </c>
      <c r="I41">
        <v>3</v>
      </c>
      <c r="J41">
        <v>5</v>
      </c>
      <c r="K41">
        <v>9</v>
      </c>
      <c r="L41">
        <f t="shared" si="0"/>
        <v>36</v>
      </c>
      <c r="M41">
        <f t="shared" si="1"/>
        <v>75</v>
      </c>
      <c r="N41">
        <f t="shared" si="2"/>
        <v>180</v>
      </c>
      <c r="O41">
        <f t="shared" si="3"/>
        <v>291</v>
      </c>
      <c r="P41">
        <v>8</v>
      </c>
      <c r="Q41" s="13" t="s">
        <v>115</v>
      </c>
      <c r="R41" s="13" t="s">
        <v>116</v>
      </c>
      <c r="S41" s="13" t="s">
        <v>116</v>
      </c>
      <c r="T41" s="13" t="s">
        <v>115</v>
      </c>
      <c r="U41" s="13" t="s">
        <v>116</v>
      </c>
      <c r="V41" s="13" t="s">
        <v>140</v>
      </c>
    </row>
    <row r="42" spans="1:22" x14ac:dyDescent="0.2">
      <c r="A42" s="13" t="s">
        <v>84</v>
      </c>
      <c r="B42" s="14">
        <v>44302.857245312502</v>
      </c>
      <c r="C42">
        <v>1.37</v>
      </c>
      <c r="D42" s="17">
        <v>8.6300000000000008</v>
      </c>
      <c r="E42" s="17">
        <v>21.15</v>
      </c>
      <c r="F42" s="17">
        <v>21.06</v>
      </c>
      <c r="G42" s="17">
        <v>16.600000000000001</v>
      </c>
      <c r="H42" s="17">
        <v>16</v>
      </c>
      <c r="I42">
        <v>1</v>
      </c>
      <c r="J42">
        <v>3</v>
      </c>
      <c r="K42">
        <v>7</v>
      </c>
      <c r="L42">
        <f t="shared" si="0"/>
        <v>12</v>
      </c>
      <c r="M42">
        <f t="shared" si="1"/>
        <v>45</v>
      </c>
      <c r="N42">
        <f t="shared" si="2"/>
        <v>140</v>
      </c>
      <c r="O42">
        <f t="shared" si="3"/>
        <v>197</v>
      </c>
      <c r="P42">
        <v>4</v>
      </c>
      <c r="Q42" s="13" t="s">
        <v>116</v>
      </c>
      <c r="R42" s="13" t="s">
        <v>116</v>
      </c>
      <c r="S42" s="13" t="s">
        <v>115</v>
      </c>
      <c r="T42" s="13" t="s">
        <v>115</v>
      </c>
      <c r="U42" s="13" t="s">
        <v>115</v>
      </c>
      <c r="V42" s="13" t="s">
        <v>145</v>
      </c>
    </row>
    <row r="43" spans="1:22" x14ac:dyDescent="0.2">
      <c r="A43" s="13" t="s">
        <v>85</v>
      </c>
      <c r="B43" s="14">
        <v>44303.857245312502</v>
      </c>
      <c r="C43">
        <v>3.45</v>
      </c>
      <c r="D43" s="17">
        <v>33.89</v>
      </c>
      <c r="E43" s="17">
        <v>37.6</v>
      </c>
      <c r="F43" s="17">
        <v>23.32</v>
      </c>
      <c r="G43" s="17">
        <v>1.57</v>
      </c>
      <c r="H43" s="17">
        <v>43.29</v>
      </c>
      <c r="I43">
        <v>7</v>
      </c>
      <c r="J43">
        <v>6</v>
      </c>
      <c r="K43">
        <v>5</v>
      </c>
      <c r="L43">
        <f t="shared" si="0"/>
        <v>84</v>
      </c>
      <c r="M43">
        <f t="shared" si="1"/>
        <v>90</v>
      </c>
      <c r="N43">
        <f t="shared" si="2"/>
        <v>100</v>
      </c>
      <c r="O43">
        <f t="shared" si="3"/>
        <v>274</v>
      </c>
      <c r="P43">
        <v>4</v>
      </c>
      <c r="Q43" s="13" t="s">
        <v>116</v>
      </c>
      <c r="R43" s="13" t="s">
        <v>116</v>
      </c>
      <c r="S43" s="13" t="s">
        <v>115</v>
      </c>
      <c r="T43" s="13" t="s">
        <v>116</v>
      </c>
      <c r="U43" s="13" t="s">
        <v>115</v>
      </c>
      <c r="V43" s="13" t="s">
        <v>145</v>
      </c>
    </row>
    <row r="44" spans="1:22" x14ac:dyDescent="0.2">
      <c r="A44" s="13" t="s">
        <v>86</v>
      </c>
      <c r="B44" s="14">
        <v>44304.857245312502</v>
      </c>
      <c r="C44">
        <v>3.88</v>
      </c>
      <c r="D44" s="17">
        <v>31.61</v>
      </c>
      <c r="E44" s="17">
        <v>15.8</v>
      </c>
      <c r="F44" s="17">
        <v>4.28</v>
      </c>
      <c r="G44" s="17">
        <v>37.64</v>
      </c>
      <c r="H44" s="17">
        <v>38.71</v>
      </c>
      <c r="I44">
        <v>0</v>
      </c>
      <c r="J44">
        <v>0</v>
      </c>
      <c r="K44">
        <v>6</v>
      </c>
      <c r="L44">
        <f t="shared" si="0"/>
        <v>0</v>
      </c>
      <c r="M44">
        <f t="shared" si="1"/>
        <v>0</v>
      </c>
      <c r="N44">
        <f t="shared" si="2"/>
        <v>120</v>
      </c>
      <c r="O44">
        <f t="shared" si="3"/>
        <v>120</v>
      </c>
      <c r="P44">
        <v>10</v>
      </c>
      <c r="Q44" s="13" t="s">
        <v>116</v>
      </c>
      <c r="R44" s="13" t="s">
        <v>116</v>
      </c>
      <c r="S44" s="13" t="s">
        <v>115</v>
      </c>
      <c r="T44" s="13" t="s">
        <v>116</v>
      </c>
      <c r="U44" s="13" t="s">
        <v>116</v>
      </c>
      <c r="V44" s="13" t="s">
        <v>141</v>
      </c>
    </row>
    <row r="45" spans="1:22" x14ac:dyDescent="0.2">
      <c r="A45" s="13" t="s">
        <v>87</v>
      </c>
      <c r="B45" s="14">
        <v>44305.857245312502</v>
      </c>
      <c r="C45">
        <v>0.64</v>
      </c>
      <c r="D45" s="17">
        <v>28.93</v>
      </c>
      <c r="E45" s="17">
        <v>10.74</v>
      </c>
      <c r="F45" s="17">
        <v>16.36</v>
      </c>
      <c r="G45" s="17">
        <v>10.85</v>
      </c>
      <c r="H45" s="17">
        <v>6</v>
      </c>
      <c r="I45">
        <v>5</v>
      </c>
      <c r="J45">
        <v>3</v>
      </c>
      <c r="K45">
        <v>6</v>
      </c>
      <c r="L45">
        <f t="shared" si="0"/>
        <v>60</v>
      </c>
      <c r="M45">
        <f t="shared" si="1"/>
        <v>45</v>
      </c>
      <c r="N45">
        <f t="shared" si="2"/>
        <v>120</v>
      </c>
      <c r="O45">
        <f t="shared" si="3"/>
        <v>225</v>
      </c>
      <c r="P45">
        <v>3</v>
      </c>
      <c r="Q45" s="13" t="s">
        <v>115</v>
      </c>
      <c r="R45" s="13" t="s">
        <v>116</v>
      </c>
      <c r="S45" s="13" t="s">
        <v>115</v>
      </c>
      <c r="T45" s="13" t="s">
        <v>115</v>
      </c>
      <c r="U45" s="13" t="s">
        <v>146</v>
      </c>
      <c r="V45" s="13" t="s">
        <v>140</v>
      </c>
    </row>
    <row r="46" spans="1:22" x14ac:dyDescent="0.2">
      <c r="A46" s="13" t="s">
        <v>88</v>
      </c>
      <c r="B46" s="14">
        <v>44306.857245312502</v>
      </c>
      <c r="C46">
        <v>2.35</v>
      </c>
      <c r="D46" s="17">
        <v>20.96</v>
      </c>
      <c r="E46" s="17">
        <v>34.32</v>
      </c>
      <c r="F46" s="17">
        <v>17.68</v>
      </c>
      <c r="G46" s="17">
        <v>38.03</v>
      </c>
      <c r="H46" s="17">
        <v>6.22</v>
      </c>
      <c r="I46">
        <v>10</v>
      </c>
      <c r="J46">
        <v>9</v>
      </c>
      <c r="K46">
        <v>7</v>
      </c>
      <c r="L46">
        <f t="shared" si="0"/>
        <v>120</v>
      </c>
      <c r="M46">
        <f t="shared" si="1"/>
        <v>135</v>
      </c>
      <c r="N46">
        <f t="shared" si="2"/>
        <v>140</v>
      </c>
      <c r="O46">
        <f t="shared" si="3"/>
        <v>395</v>
      </c>
      <c r="P46">
        <v>6</v>
      </c>
      <c r="Q46" s="13" t="s">
        <v>116</v>
      </c>
      <c r="R46" s="13" t="s">
        <v>116</v>
      </c>
      <c r="S46" s="13" t="s">
        <v>115</v>
      </c>
      <c r="T46" s="13" t="s">
        <v>116</v>
      </c>
      <c r="U46" s="13" t="s">
        <v>116</v>
      </c>
      <c r="V46" s="13" t="s">
        <v>139</v>
      </c>
    </row>
    <row r="47" spans="1:22" x14ac:dyDescent="0.2">
      <c r="A47" s="13" t="s">
        <v>89</v>
      </c>
      <c r="B47" s="14">
        <v>44307.857245312502</v>
      </c>
      <c r="C47">
        <v>2.21</v>
      </c>
      <c r="D47" s="17">
        <v>8.17</v>
      </c>
      <c r="E47" s="17">
        <v>31.87</v>
      </c>
      <c r="F47" s="17">
        <v>42.09</v>
      </c>
      <c r="G47" s="17">
        <v>12.7</v>
      </c>
      <c r="H47" s="17">
        <v>37</v>
      </c>
      <c r="I47">
        <v>3</v>
      </c>
      <c r="J47">
        <v>2</v>
      </c>
      <c r="K47">
        <v>4</v>
      </c>
      <c r="L47">
        <f t="shared" si="0"/>
        <v>36</v>
      </c>
      <c r="M47">
        <f t="shared" si="1"/>
        <v>30</v>
      </c>
      <c r="N47">
        <f t="shared" si="2"/>
        <v>80</v>
      </c>
      <c r="O47">
        <f t="shared" si="3"/>
        <v>146</v>
      </c>
      <c r="P47">
        <v>10</v>
      </c>
      <c r="Q47" s="13" t="s">
        <v>116</v>
      </c>
      <c r="R47" s="13" t="s">
        <v>116</v>
      </c>
      <c r="S47" s="13" t="s">
        <v>116</v>
      </c>
      <c r="T47" s="13" t="s">
        <v>115</v>
      </c>
      <c r="U47" s="13" t="s">
        <v>116</v>
      </c>
      <c r="V47" s="13" t="s">
        <v>141</v>
      </c>
    </row>
    <row r="48" spans="1:22" x14ac:dyDescent="0.2">
      <c r="A48" s="13" t="s">
        <v>90</v>
      </c>
      <c r="B48" s="14">
        <v>44308.857245312502</v>
      </c>
      <c r="C48">
        <v>0.27</v>
      </c>
      <c r="D48" s="17">
        <v>24.68</v>
      </c>
      <c r="E48" s="17">
        <v>36.6</v>
      </c>
      <c r="F48" s="17">
        <v>45.27</v>
      </c>
      <c r="G48" s="17">
        <v>34.200000000000003</v>
      </c>
      <c r="H48" s="17">
        <v>36.61</v>
      </c>
      <c r="I48">
        <v>7</v>
      </c>
      <c r="J48">
        <v>0</v>
      </c>
      <c r="K48">
        <v>2</v>
      </c>
      <c r="L48">
        <f t="shared" si="0"/>
        <v>84</v>
      </c>
      <c r="M48">
        <f t="shared" si="1"/>
        <v>0</v>
      </c>
      <c r="N48">
        <f t="shared" si="2"/>
        <v>40</v>
      </c>
      <c r="O48">
        <f t="shared" si="3"/>
        <v>124</v>
      </c>
      <c r="P48">
        <v>9</v>
      </c>
      <c r="Q48" s="13" t="s">
        <v>116</v>
      </c>
      <c r="R48" s="13" t="s">
        <v>116</v>
      </c>
      <c r="S48" s="13" t="s">
        <v>116</v>
      </c>
      <c r="T48" s="13" t="s">
        <v>115</v>
      </c>
      <c r="U48" s="13" t="s">
        <v>146</v>
      </c>
      <c r="V48" s="13" t="s">
        <v>139</v>
      </c>
    </row>
    <row r="49" spans="1:22" x14ac:dyDescent="0.2">
      <c r="A49" s="13" t="s">
        <v>91</v>
      </c>
      <c r="B49" s="14">
        <v>44309.857245312502</v>
      </c>
      <c r="C49">
        <v>1.47</v>
      </c>
      <c r="D49" s="17">
        <v>42.3</v>
      </c>
      <c r="E49" s="17">
        <v>2.1</v>
      </c>
      <c r="F49" s="17">
        <v>36.299999999999997</v>
      </c>
      <c r="G49" s="17">
        <v>20.13</v>
      </c>
      <c r="H49" s="17">
        <v>22.05</v>
      </c>
      <c r="I49">
        <v>4</v>
      </c>
      <c r="J49">
        <v>3</v>
      </c>
      <c r="K49">
        <v>7</v>
      </c>
      <c r="L49">
        <f t="shared" si="0"/>
        <v>48</v>
      </c>
      <c r="M49">
        <f t="shared" si="1"/>
        <v>45</v>
      </c>
      <c r="N49">
        <f t="shared" si="2"/>
        <v>140</v>
      </c>
      <c r="O49">
        <f t="shared" si="3"/>
        <v>233</v>
      </c>
      <c r="P49">
        <v>8</v>
      </c>
      <c r="Q49" s="13" t="s">
        <v>115</v>
      </c>
      <c r="R49" s="13" t="s">
        <v>115</v>
      </c>
      <c r="S49" s="13" t="s">
        <v>115</v>
      </c>
      <c r="T49" s="13" t="s">
        <v>115</v>
      </c>
      <c r="U49" s="13" t="s">
        <v>116</v>
      </c>
      <c r="V49" s="13" t="s">
        <v>139</v>
      </c>
    </row>
    <row r="50" spans="1:22" x14ac:dyDescent="0.2">
      <c r="A50" s="13" t="s">
        <v>92</v>
      </c>
      <c r="B50" s="14">
        <v>44310.857245312502</v>
      </c>
      <c r="C50">
        <v>1.37</v>
      </c>
      <c r="D50" s="17">
        <v>49.09</v>
      </c>
      <c r="E50" s="17">
        <v>11.57</v>
      </c>
      <c r="F50" s="17">
        <v>33.659999999999997</v>
      </c>
      <c r="G50" s="17">
        <v>24.02</v>
      </c>
      <c r="H50" s="17">
        <v>2.82</v>
      </c>
      <c r="I50">
        <v>6</v>
      </c>
      <c r="J50">
        <v>10</v>
      </c>
      <c r="K50">
        <v>3</v>
      </c>
      <c r="L50">
        <f t="shared" si="0"/>
        <v>72</v>
      </c>
      <c r="M50">
        <f t="shared" si="1"/>
        <v>150</v>
      </c>
      <c r="N50">
        <f t="shared" si="2"/>
        <v>60</v>
      </c>
      <c r="O50">
        <f t="shared" si="3"/>
        <v>282</v>
      </c>
      <c r="P50">
        <v>1</v>
      </c>
      <c r="Q50" s="13" t="s">
        <v>115</v>
      </c>
      <c r="R50" s="13" t="s">
        <v>116</v>
      </c>
      <c r="S50" s="13" t="s">
        <v>115</v>
      </c>
      <c r="T50" s="13" t="s">
        <v>116</v>
      </c>
      <c r="U50" s="13" t="s">
        <v>116</v>
      </c>
      <c r="V50" s="13" t="s">
        <v>139</v>
      </c>
    </row>
    <row r="51" spans="1:22" x14ac:dyDescent="0.2">
      <c r="A51" s="13" t="s">
        <v>93</v>
      </c>
      <c r="B51" s="14">
        <v>44311.857245312502</v>
      </c>
      <c r="C51">
        <v>2</v>
      </c>
      <c r="D51" s="17">
        <v>37.770000000000003</v>
      </c>
      <c r="E51" s="17">
        <v>30.17</v>
      </c>
      <c r="F51" s="17">
        <v>37.520000000000003</v>
      </c>
      <c r="G51" s="17">
        <v>3.11</v>
      </c>
      <c r="H51" s="17">
        <v>3.48</v>
      </c>
      <c r="I51">
        <v>9</v>
      </c>
      <c r="J51">
        <v>0</v>
      </c>
      <c r="K51">
        <v>7</v>
      </c>
      <c r="L51">
        <f t="shared" si="0"/>
        <v>108</v>
      </c>
      <c r="M51">
        <f t="shared" si="1"/>
        <v>0</v>
      </c>
      <c r="N51">
        <f t="shared" si="2"/>
        <v>140</v>
      </c>
      <c r="O51">
        <f t="shared" si="3"/>
        <v>248</v>
      </c>
      <c r="P51">
        <v>9</v>
      </c>
      <c r="Q51" s="13" t="s">
        <v>116</v>
      </c>
      <c r="R51" s="13" t="s">
        <v>115</v>
      </c>
      <c r="S51" s="13" t="s">
        <v>115</v>
      </c>
      <c r="T51" s="13" t="s">
        <v>115</v>
      </c>
      <c r="U51" s="13" t="s">
        <v>146</v>
      </c>
      <c r="V51" s="13" t="s">
        <v>140</v>
      </c>
    </row>
    <row r="52" spans="1:22" x14ac:dyDescent="0.2">
      <c r="A52" s="13" t="s">
        <v>94</v>
      </c>
      <c r="B52" s="14">
        <v>44312.857245312502</v>
      </c>
      <c r="C52">
        <v>3.76</v>
      </c>
      <c r="D52" s="17">
        <v>32.950000000000003</v>
      </c>
      <c r="E52" s="17">
        <v>24.94</v>
      </c>
      <c r="F52" s="17">
        <v>26.15</v>
      </c>
      <c r="G52" s="17">
        <v>22.1</v>
      </c>
      <c r="H52" s="17">
        <v>3.14</v>
      </c>
      <c r="I52">
        <v>7</v>
      </c>
      <c r="J52">
        <v>9</v>
      </c>
      <c r="K52">
        <v>3</v>
      </c>
      <c r="L52">
        <f t="shared" si="0"/>
        <v>84</v>
      </c>
      <c r="M52">
        <f t="shared" si="1"/>
        <v>135</v>
      </c>
      <c r="N52">
        <f t="shared" si="2"/>
        <v>60</v>
      </c>
      <c r="O52">
        <f t="shared" si="3"/>
        <v>279</v>
      </c>
      <c r="P52">
        <v>10</v>
      </c>
      <c r="Q52" s="13" t="s">
        <v>116</v>
      </c>
      <c r="R52" s="13" t="s">
        <v>116</v>
      </c>
      <c r="S52" s="13" t="s">
        <v>116</v>
      </c>
      <c r="T52" s="13" t="s">
        <v>116</v>
      </c>
      <c r="U52" s="13" t="s">
        <v>146</v>
      </c>
      <c r="V52" s="13" t="s">
        <v>141</v>
      </c>
    </row>
    <row r="53" spans="1:22" x14ac:dyDescent="0.2">
      <c r="A53" s="13" t="s">
        <v>95</v>
      </c>
      <c r="B53" s="14">
        <v>44313.857245312502</v>
      </c>
      <c r="C53">
        <v>1.37</v>
      </c>
      <c r="D53" s="17">
        <v>37.840000000000003</v>
      </c>
      <c r="E53" s="17">
        <v>22.33</v>
      </c>
      <c r="F53" s="17">
        <v>34.18</v>
      </c>
      <c r="G53" s="17">
        <v>18.72</v>
      </c>
      <c r="H53" s="17">
        <v>14.89</v>
      </c>
      <c r="I53">
        <v>9</v>
      </c>
      <c r="J53">
        <v>1</v>
      </c>
      <c r="K53">
        <v>7</v>
      </c>
      <c r="L53">
        <f t="shared" si="0"/>
        <v>108</v>
      </c>
      <c r="M53">
        <f t="shared" si="1"/>
        <v>15</v>
      </c>
      <c r="N53">
        <f t="shared" si="2"/>
        <v>140</v>
      </c>
      <c r="O53">
        <f t="shared" si="3"/>
        <v>263</v>
      </c>
      <c r="P53">
        <v>6</v>
      </c>
      <c r="Q53" s="13" t="s">
        <v>116</v>
      </c>
      <c r="R53" s="13" t="s">
        <v>115</v>
      </c>
      <c r="S53" s="13" t="s">
        <v>115</v>
      </c>
      <c r="T53" s="13" t="s">
        <v>116</v>
      </c>
      <c r="U53" s="13" t="s">
        <v>116</v>
      </c>
      <c r="V53" s="13" t="s">
        <v>140</v>
      </c>
    </row>
    <row r="54" spans="1:22" x14ac:dyDescent="0.2">
      <c r="A54" s="13" t="s">
        <v>96</v>
      </c>
      <c r="B54" s="14">
        <v>44314.857245312502</v>
      </c>
      <c r="C54">
        <v>0.26</v>
      </c>
      <c r="D54" s="17">
        <v>35.979999999999997</v>
      </c>
      <c r="E54" s="17">
        <v>34.549999999999997</v>
      </c>
      <c r="F54" s="17">
        <v>24.56</v>
      </c>
      <c r="G54" s="17">
        <v>25.08</v>
      </c>
      <c r="H54" s="17">
        <v>4.9800000000000004</v>
      </c>
      <c r="I54">
        <v>2</v>
      </c>
      <c r="J54">
        <v>10</v>
      </c>
      <c r="K54">
        <v>5</v>
      </c>
      <c r="L54">
        <f t="shared" si="0"/>
        <v>24</v>
      </c>
      <c r="M54">
        <f t="shared" si="1"/>
        <v>150</v>
      </c>
      <c r="N54">
        <f t="shared" si="2"/>
        <v>100</v>
      </c>
      <c r="O54">
        <f t="shared" si="3"/>
        <v>274</v>
      </c>
      <c r="P54">
        <v>7</v>
      </c>
      <c r="Q54" s="13" t="s">
        <v>116</v>
      </c>
      <c r="R54" s="13" t="s">
        <v>115</v>
      </c>
      <c r="S54" s="13" t="s">
        <v>116</v>
      </c>
      <c r="T54" s="13" t="s">
        <v>116</v>
      </c>
      <c r="U54" s="13" t="s">
        <v>146</v>
      </c>
      <c r="V54" s="13" t="s">
        <v>139</v>
      </c>
    </row>
    <row r="55" spans="1:22" x14ac:dyDescent="0.2">
      <c r="A55" s="13" t="s">
        <v>97</v>
      </c>
      <c r="B55" s="14">
        <v>44315.857245312502</v>
      </c>
      <c r="C55">
        <v>1.69</v>
      </c>
      <c r="D55" s="17">
        <v>11.83</v>
      </c>
      <c r="E55" s="17">
        <v>21.88</v>
      </c>
      <c r="F55" s="17">
        <v>16.37</v>
      </c>
      <c r="G55" s="17">
        <v>18.41</v>
      </c>
      <c r="H55" s="17">
        <v>40.65</v>
      </c>
      <c r="I55">
        <v>6</v>
      </c>
      <c r="J55">
        <v>4</v>
      </c>
      <c r="K55">
        <v>3</v>
      </c>
      <c r="L55">
        <f t="shared" si="0"/>
        <v>72</v>
      </c>
      <c r="M55">
        <f t="shared" si="1"/>
        <v>60</v>
      </c>
      <c r="N55">
        <f t="shared" si="2"/>
        <v>60</v>
      </c>
      <c r="O55">
        <f t="shared" si="3"/>
        <v>192</v>
      </c>
      <c r="P55">
        <v>2</v>
      </c>
      <c r="Q55" s="13" t="s">
        <v>115</v>
      </c>
      <c r="R55" s="13" t="s">
        <v>115</v>
      </c>
      <c r="S55" s="13" t="s">
        <v>115</v>
      </c>
      <c r="T55" s="13" t="s">
        <v>116</v>
      </c>
      <c r="U55" s="13" t="s">
        <v>115</v>
      </c>
      <c r="V55" s="13" t="s">
        <v>145</v>
      </c>
    </row>
    <row r="56" spans="1:22" x14ac:dyDescent="0.2">
      <c r="A56" s="13" t="s">
        <v>98</v>
      </c>
      <c r="B56" s="14">
        <v>44316.857245312502</v>
      </c>
      <c r="C56">
        <v>2.27</v>
      </c>
      <c r="D56" s="17">
        <v>11.84</v>
      </c>
      <c r="E56" s="17">
        <v>2.63</v>
      </c>
      <c r="F56" s="17">
        <v>6.12</v>
      </c>
      <c r="G56" s="17">
        <v>46.92</v>
      </c>
      <c r="H56" s="17">
        <v>7.25</v>
      </c>
      <c r="I56">
        <v>4</v>
      </c>
      <c r="J56">
        <v>1</v>
      </c>
      <c r="K56">
        <v>4</v>
      </c>
      <c r="L56">
        <f t="shared" si="0"/>
        <v>48</v>
      </c>
      <c r="M56">
        <f t="shared" si="1"/>
        <v>15</v>
      </c>
      <c r="N56">
        <f t="shared" si="2"/>
        <v>80</v>
      </c>
      <c r="O56">
        <f t="shared" si="3"/>
        <v>143</v>
      </c>
      <c r="P56">
        <v>6</v>
      </c>
      <c r="Q56" s="13" t="s">
        <v>116</v>
      </c>
      <c r="R56" s="13" t="s">
        <v>115</v>
      </c>
      <c r="S56" s="13" t="s">
        <v>115</v>
      </c>
      <c r="T56" s="13" t="s">
        <v>115</v>
      </c>
      <c r="U56" s="13" t="s">
        <v>115</v>
      </c>
      <c r="V56" s="13" t="s">
        <v>145</v>
      </c>
    </row>
    <row r="57" spans="1:22" x14ac:dyDescent="0.2">
      <c r="A57" s="13" t="s">
        <v>99</v>
      </c>
      <c r="B57" s="14">
        <v>44317.857245312502</v>
      </c>
      <c r="C57">
        <v>3.08</v>
      </c>
      <c r="D57" s="17">
        <v>14.67</v>
      </c>
      <c r="E57" s="17">
        <v>0.63</v>
      </c>
      <c r="F57" s="17">
        <v>36.54</v>
      </c>
      <c r="G57" s="17">
        <v>35.590000000000003</v>
      </c>
      <c r="H57" s="17">
        <v>0.83</v>
      </c>
      <c r="I57">
        <v>0</v>
      </c>
      <c r="J57">
        <v>0</v>
      </c>
      <c r="K57">
        <v>1</v>
      </c>
      <c r="L57">
        <f t="shared" si="0"/>
        <v>0</v>
      </c>
      <c r="M57">
        <f t="shared" si="1"/>
        <v>0</v>
      </c>
      <c r="N57">
        <f t="shared" si="2"/>
        <v>20</v>
      </c>
      <c r="O57">
        <f t="shared" si="3"/>
        <v>20</v>
      </c>
      <c r="P57">
        <v>4</v>
      </c>
      <c r="Q57" s="13" t="s">
        <v>116</v>
      </c>
      <c r="R57" s="13" t="s">
        <v>116</v>
      </c>
      <c r="S57" s="13" t="s">
        <v>115</v>
      </c>
      <c r="T57" s="13" t="s">
        <v>115</v>
      </c>
      <c r="U57" s="13" t="s">
        <v>116</v>
      </c>
      <c r="V57" s="13" t="s">
        <v>141</v>
      </c>
    </row>
    <row r="58" spans="1:22" x14ac:dyDescent="0.2">
      <c r="A58" s="13" t="s">
        <v>100</v>
      </c>
      <c r="B58" s="14">
        <v>44318.857245312502</v>
      </c>
      <c r="C58">
        <v>0.6</v>
      </c>
      <c r="D58" s="17">
        <v>31.58</v>
      </c>
      <c r="E58" s="17">
        <v>27.8</v>
      </c>
      <c r="F58" s="17">
        <v>33.29</v>
      </c>
      <c r="G58" s="17">
        <v>3.17</v>
      </c>
      <c r="H58" s="17">
        <v>20.75</v>
      </c>
      <c r="I58">
        <v>0</v>
      </c>
      <c r="J58">
        <v>1</v>
      </c>
      <c r="K58">
        <v>9</v>
      </c>
      <c r="L58">
        <f t="shared" si="0"/>
        <v>0</v>
      </c>
      <c r="M58">
        <f t="shared" si="1"/>
        <v>15</v>
      </c>
      <c r="N58">
        <f t="shared" si="2"/>
        <v>180</v>
      </c>
      <c r="O58">
        <f t="shared" si="3"/>
        <v>195</v>
      </c>
      <c r="P58">
        <v>6</v>
      </c>
      <c r="Q58" s="13" t="s">
        <v>115</v>
      </c>
      <c r="R58" s="13" t="s">
        <v>116</v>
      </c>
      <c r="S58" s="13" t="s">
        <v>116</v>
      </c>
      <c r="T58" s="13" t="s">
        <v>115</v>
      </c>
      <c r="U58" s="13" t="s">
        <v>116</v>
      </c>
      <c r="V58" s="13" t="s">
        <v>139</v>
      </c>
    </row>
    <row r="59" spans="1:22" x14ac:dyDescent="0.2">
      <c r="A59" s="13" t="s">
        <v>101</v>
      </c>
      <c r="B59" s="14">
        <v>44319.857245312502</v>
      </c>
      <c r="C59">
        <v>3.93</v>
      </c>
      <c r="D59" s="17">
        <v>24.52</v>
      </c>
      <c r="E59" s="17">
        <v>47.23</v>
      </c>
      <c r="F59" s="17">
        <v>31.87</v>
      </c>
      <c r="G59" s="17">
        <v>33.299999999999997</v>
      </c>
      <c r="H59" s="17">
        <v>17.47</v>
      </c>
      <c r="I59">
        <v>10</v>
      </c>
      <c r="J59">
        <v>0</v>
      </c>
      <c r="K59">
        <v>10</v>
      </c>
      <c r="L59">
        <f t="shared" si="0"/>
        <v>120</v>
      </c>
      <c r="M59">
        <f t="shared" si="1"/>
        <v>0</v>
      </c>
      <c r="N59">
        <f t="shared" si="2"/>
        <v>200</v>
      </c>
      <c r="O59">
        <f t="shared" si="3"/>
        <v>320</v>
      </c>
      <c r="P59">
        <v>2</v>
      </c>
      <c r="Q59" s="13" t="s">
        <v>116</v>
      </c>
      <c r="R59" s="13" t="s">
        <v>116</v>
      </c>
      <c r="S59" s="13" t="s">
        <v>116</v>
      </c>
      <c r="T59" s="13" t="s">
        <v>116</v>
      </c>
      <c r="U59" s="13" t="s">
        <v>115</v>
      </c>
      <c r="V59" s="13" t="s">
        <v>145</v>
      </c>
    </row>
    <row r="60" spans="1:22" x14ac:dyDescent="0.2">
      <c r="A60" s="13" t="s">
        <v>102</v>
      </c>
      <c r="B60" s="14">
        <v>44320.857245312502</v>
      </c>
      <c r="C60">
        <v>0.97</v>
      </c>
      <c r="D60" s="17">
        <v>21.9</v>
      </c>
      <c r="E60" s="17">
        <v>30.32</v>
      </c>
      <c r="F60" s="17">
        <v>37.35</v>
      </c>
      <c r="G60" s="17">
        <v>46.61</v>
      </c>
      <c r="H60" s="17">
        <v>20.68</v>
      </c>
      <c r="I60">
        <v>3</v>
      </c>
      <c r="J60">
        <v>9</v>
      </c>
      <c r="K60">
        <v>6</v>
      </c>
      <c r="L60">
        <f t="shared" si="0"/>
        <v>36</v>
      </c>
      <c r="M60">
        <f t="shared" si="1"/>
        <v>135</v>
      </c>
      <c r="N60">
        <f t="shared" si="2"/>
        <v>120</v>
      </c>
      <c r="O60">
        <f t="shared" si="3"/>
        <v>291</v>
      </c>
      <c r="P60">
        <v>0</v>
      </c>
      <c r="Q60" s="13" t="s">
        <v>115</v>
      </c>
      <c r="R60" s="13" t="s">
        <v>116</v>
      </c>
      <c r="S60" s="13" t="s">
        <v>115</v>
      </c>
      <c r="T60" s="13" t="s">
        <v>116</v>
      </c>
      <c r="U60" s="13" t="s">
        <v>115</v>
      </c>
      <c r="V60" s="13" t="s">
        <v>145</v>
      </c>
    </row>
    <row r="61" spans="1:22" x14ac:dyDescent="0.2">
      <c r="A61" s="13" t="s">
        <v>103</v>
      </c>
      <c r="B61" s="14">
        <v>44321.857245312502</v>
      </c>
      <c r="C61">
        <v>0</v>
      </c>
      <c r="D61" s="17">
        <v>11.23</v>
      </c>
      <c r="E61" s="17">
        <v>40.24</v>
      </c>
      <c r="F61" s="17">
        <v>23.57</v>
      </c>
      <c r="G61" s="17">
        <v>10.47</v>
      </c>
      <c r="H61" s="17">
        <v>29.14</v>
      </c>
      <c r="I61">
        <v>4</v>
      </c>
      <c r="J61">
        <v>4</v>
      </c>
      <c r="K61">
        <v>9</v>
      </c>
      <c r="L61">
        <f t="shared" si="0"/>
        <v>48</v>
      </c>
      <c r="M61">
        <f t="shared" si="1"/>
        <v>60</v>
      </c>
      <c r="N61">
        <f t="shared" si="2"/>
        <v>180</v>
      </c>
      <c r="O61">
        <f t="shared" si="3"/>
        <v>288</v>
      </c>
      <c r="P61">
        <v>10</v>
      </c>
      <c r="Q61" s="13" t="s">
        <v>116</v>
      </c>
      <c r="R61" s="13" t="s">
        <v>116</v>
      </c>
      <c r="S61" s="13" t="s">
        <v>115</v>
      </c>
      <c r="T61" s="13" t="s">
        <v>116</v>
      </c>
      <c r="U61" s="13" t="s">
        <v>116</v>
      </c>
      <c r="V61" s="13" t="s">
        <v>139</v>
      </c>
    </row>
    <row r="62" spans="1:22" x14ac:dyDescent="0.2">
      <c r="A62" s="13" t="s">
        <v>104</v>
      </c>
      <c r="B62" s="14">
        <v>44322.857245312502</v>
      </c>
      <c r="C62">
        <v>1.2</v>
      </c>
      <c r="D62" s="17">
        <v>9.93</v>
      </c>
      <c r="E62" s="17">
        <v>32.57</v>
      </c>
      <c r="F62" s="17">
        <v>5.87</v>
      </c>
      <c r="G62" s="17">
        <v>7.26</v>
      </c>
      <c r="H62" s="17">
        <v>36.58</v>
      </c>
      <c r="I62">
        <v>6</v>
      </c>
      <c r="J62">
        <v>0</v>
      </c>
      <c r="K62">
        <v>6</v>
      </c>
      <c r="L62">
        <f t="shared" si="0"/>
        <v>72</v>
      </c>
      <c r="M62">
        <f t="shared" si="1"/>
        <v>0</v>
      </c>
      <c r="N62">
        <f t="shared" si="2"/>
        <v>120</v>
      </c>
      <c r="O62">
        <f t="shared" si="3"/>
        <v>192</v>
      </c>
      <c r="P62">
        <v>7</v>
      </c>
      <c r="Q62" s="13" t="s">
        <v>116</v>
      </c>
      <c r="R62" s="13" t="s">
        <v>116</v>
      </c>
      <c r="S62" s="13" t="s">
        <v>115</v>
      </c>
      <c r="T62" s="13" t="s">
        <v>116</v>
      </c>
      <c r="U62" s="13" t="s">
        <v>116</v>
      </c>
      <c r="V62" s="13" t="s">
        <v>140</v>
      </c>
    </row>
    <row r="63" spans="1:22" x14ac:dyDescent="0.2">
      <c r="A63" s="13" t="s">
        <v>105</v>
      </c>
      <c r="B63" s="14">
        <v>44323.857245312502</v>
      </c>
      <c r="C63">
        <v>2.34</v>
      </c>
      <c r="D63" s="17">
        <v>16.96</v>
      </c>
      <c r="E63" s="17">
        <v>13.47</v>
      </c>
      <c r="F63" s="17">
        <v>11.45</v>
      </c>
      <c r="G63" s="17">
        <v>27.45</v>
      </c>
      <c r="H63" s="17">
        <v>16.77</v>
      </c>
      <c r="I63">
        <v>5</v>
      </c>
      <c r="J63">
        <v>10</v>
      </c>
      <c r="K63">
        <v>8</v>
      </c>
      <c r="L63">
        <f t="shared" si="0"/>
        <v>60</v>
      </c>
      <c r="M63">
        <f t="shared" si="1"/>
        <v>150</v>
      </c>
      <c r="N63">
        <f t="shared" si="2"/>
        <v>160</v>
      </c>
      <c r="O63">
        <f t="shared" si="3"/>
        <v>370</v>
      </c>
      <c r="P63">
        <v>2</v>
      </c>
      <c r="Q63" s="13" t="s">
        <v>115</v>
      </c>
      <c r="R63" s="13" t="s">
        <v>116</v>
      </c>
      <c r="S63" s="13" t="s">
        <v>116</v>
      </c>
      <c r="T63" s="13" t="s">
        <v>116</v>
      </c>
      <c r="U63" s="13" t="s">
        <v>116</v>
      </c>
      <c r="V63" s="13" t="s">
        <v>141</v>
      </c>
    </row>
    <row r="64" spans="1:22" x14ac:dyDescent="0.2">
      <c r="A64" s="13" t="s">
        <v>106</v>
      </c>
      <c r="B64" s="14">
        <v>44324.857245312502</v>
      </c>
      <c r="C64">
        <v>1.07</v>
      </c>
      <c r="D64" s="17">
        <v>22.17</v>
      </c>
      <c r="E64" s="17">
        <v>27.53</v>
      </c>
      <c r="F64" s="17">
        <v>42.24</v>
      </c>
      <c r="G64" s="17">
        <v>39.659999999999997</v>
      </c>
      <c r="H64" s="17">
        <v>38.79</v>
      </c>
      <c r="I64">
        <v>10</v>
      </c>
      <c r="J64">
        <v>8</v>
      </c>
      <c r="K64">
        <v>5</v>
      </c>
      <c r="L64">
        <f t="shared" si="0"/>
        <v>120</v>
      </c>
      <c r="M64">
        <f t="shared" si="1"/>
        <v>120</v>
      </c>
      <c r="N64">
        <f t="shared" si="2"/>
        <v>100</v>
      </c>
      <c r="O64">
        <f t="shared" si="3"/>
        <v>340</v>
      </c>
      <c r="P64">
        <v>0</v>
      </c>
      <c r="Q64" s="13" t="s">
        <v>116</v>
      </c>
      <c r="R64" s="13" t="s">
        <v>116</v>
      </c>
      <c r="S64" s="13" t="s">
        <v>116</v>
      </c>
      <c r="T64" s="13" t="s">
        <v>115</v>
      </c>
      <c r="U64" s="13" t="s">
        <v>115</v>
      </c>
      <c r="V64" s="13" t="s">
        <v>145</v>
      </c>
    </row>
    <row r="65" spans="1:22" x14ac:dyDescent="0.2">
      <c r="A65" s="13" t="s">
        <v>107</v>
      </c>
      <c r="B65" s="14">
        <v>44325.857245312502</v>
      </c>
      <c r="C65">
        <v>1.93</v>
      </c>
      <c r="D65" s="17">
        <v>10.68</v>
      </c>
      <c r="E65" s="17">
        <v>9.68</v>
      </c>
      <c r="F65" s="17">
        <v>39.979999999999997</v>
      </c>
      <c r="G65" s="17">
        <v>2.6</v>
      </c>
      <c r="H65" s="17">
        <v>2.56</v>
      </c>
      <c r="I65">
        <v>6</v>
      </c>
      <c r="J65">
        <v>0</v>
      </c>
      <c r="K65">
        <v>7</v>
      </c>
      <c r="L65">
        <f t="shared" si="0"/>
        <v>72</v>
      </c>
      <c r="M65">
        <f t="shared" si="1"/>
        <v>0</v>
      </c>
      <c r="N65">
        <f t="shared" si="2"/>
        <v>140</v>
      </c>
      <c r="O65">
        <f t="shared" si="3"/>
        <v>212</v>
      </c>
      <c r="P65">
        <v>8</v>
      </c>
      <c r="Q65" s="13" t="s">
        <v>116</v>
      </c>
      <c r="R65" s="13" t="s">
        <v>116</v>
      </c>
      <c r="S65" s="13" t="s">
        <v>115</v>
      </c>
      <c r="T65" s="13" t="s">
        <v>115</v>
      </c>
      <c r="U65" s="13" t="s">
        <v>115</v>
      </c>
      <c r="V65" s="13" t="s">
        <v>145</v>
      </c>
    </row>
    <row r="66" spans="1:22" x14ac:dyDescent="0.2">
      <c r="A66" s="13" t="s">
        <v>108</v>
      </c>
      <c r="B66" s="14">
        <v>44326.857245312502</v>
      </c>
      <c r="C66">
        <v>2.04</v>
      </c>
      <c r="D66" s="17">
        <v>38.92</v>
      </c>
      <c r="E66" s="17">
        <v>27.32</v>
      </c>
      <c r="F66" s="17">
        <v>47.46</v>
      </c>
      <c r="G66" s="17">
        <v>26.21</v>
      </c>
      <c r="H66" s="17">
        <v>15.75</v>
      </c>
      <c r="I66">
        <v>2</v>
      </c>
      <c r="J66">
        <v>5</v>
      </c>
      <c r="K66">
        <v>8</v>
      </c>
      <c r="L66">
        <f t="shared" si="0"/>
        <v>24</v>
      </c>
      <c r="M66">
        <f t="shared" si="1"/>
        <v>75</v>
      </c>
      <c r="N66">
        <f t="shared" si="2"/>
        <v>160</v>
      </c>
      <c r="O66">
        <f t="shared" si="3"/>
        <v>259</v>
      </c>
      <c r="P66">
        <v>10</v>
      </c>
      <c r="Q66" s="13" t="s">
        <v>116</v>
      </c>
      <c r="R66" s="13" t="s">
        <v>116</v>
      </c>
      <c r="S66" s="13" t="s">
        <v>115</v>
      </c>
      <c r="T66" s="13" t="s">
        <v>115</v>
      </c>
      <c r="U66" s="13" t="s">
        <v>115</v>
      </c>
      <c r="V66" s="13" t="s">
        <v>145</v>
      </c>
    </row>
    <row r="67" spans="1:22" x14ac:dyDescent="0.2">
      <c r="A67" s="13" t="s">
        <v>138</v>
      </c>
      <c r="B67" s="14">
        <v>44262.947245370371</v>
      </c>
      <c r="C67">
        <v>4</v>
      </c>
      <c r="D67">
        <v>20</v>
      </c>
      <c r="E67">
        <v>20</v>
      </c>
      <c r="F67">
        <v>20</v>
      </c>
      <c r="G67">
        <v>20</v>
      </c>
      <c r="H67">
        <v>20</v>
      </c>
      <c r="I67" t="s">
        <v>42</v>
      </c>
      <c r="J67" t="s">
        <v>42</v>
      </c>
      <c r="K67" t="s">
        <v>42</v>
      </c>
      <c r="L67">
        <v>0</v>
      </c>
      <c r="M67">
        <v>0</v>
      </c>
      <c r="N67">
        <v>0</v>
      </c>
      <c r="O67">
        <v>0</v>
      </c>
      <c r="P67">
        <v>2</v>
      </c>
      <c r="Q67" s="13" t="s">
        <v>115</v>
      </c>
      <c r="R67" s="13" t="s">
        <v>115</v>
      </c>
      <c r="S67" s="13" t="s">
        <v>115</v>
      </c>
      <c r="T67" s="13" t="s">
        <v>115</v>
      </c>
      <c r="U67" s="13" t="s">
        <v>115</v>
      </c>
      <c r="V67" s="13" t="s">
        <v>145</v>
      </c>
    </row>
    <row r="68" spans="1:22" x14ac:dyDescent="0.2">
      <c r="A68" s="13" t="s">
        <v>149</v>
      </c>
      <c r="B68" s="14">
        <v>44262.971574074072</v>
      </c>
      <c r="C68">
        <v>2</v>
      </c>
      <c r="D68">
        <v>10</v>
      </c>
      <c r="E68">
        <v>10</v>
      </c>
      <c r="F68">
        <v>10</v>
      </c>
      <c r="G68">
        <v>10</v>
      </c>
      <c r="H68">
        <v>10</v>
      </c>
      <c r="I68" t="s">
        <v>42</v>
      </c>
      <c r="J68" t="s">
        <v>42</v>
      </c>
      <c r="K68" t="s">
        <v>42</v>
      </c>
      <c r="L68">
        <v>0</v>
      </c>
      <c r="M68">
        <v>0</v>
      </c>
      <c r="N68">
        <v>0</v>
      </c>
      <c r="O68">
        <v>0</v>
      </c>
      <c r="P68">
        <v>2</v>
      </c>
      <c r="Q68" s="13" t="s">
        <v>115</v>
      </c>
      <c r="R68" s="13" t="s">
        <v>115</v>
      </c>
      <c r="S68" s="13" t="s">
        <v>115</v>
      </c>
      <c r="T68" s="13" t="s">
        <v>115</v>
      </c>
      <c r="U68" s="13" t="s">
        <v>115</v>
      </c>
      <c r="V68" t="s">
        <v>150</v>
      </c>
    </row>
    <row r="69" spans="1:22" x14ac:dyDescent="0.2">
      <c r="A69" s="13">
        <v>1</v>
      </c>
      <c r="B69" s="14">
        <v>44262.973645833335</v>
      </c>
      <c r="C69">
        <v>2</v>
      </c>
      <c r="D69">
        <v>10</v>
      </c>
      <c r="E69">
        <v>10</v>
      </c>
      <c r="F69">
        <v>10</v>
      </c>
      <c r="G69">
        <v>10</v>
      </c>
      <c r="H69">
        <v>10</v>
      </c>
      <c r="I69" t="s">
        <v>42</v>
      </c>
      <c r="J69" t="s">
        <v>42</v>
      </c>
      <c r="K69" t="s">
        <v>42</v>
      </c>
      <c r="L69">
        <v>0</v>
      </c>
      <c r="M69">
        <v>0</v>
      </c>
      <c r="N69">
        <v>0</v>
      </c>
      <c r="O69">
        <v>0</v>
      </c>
      <c r="P69">
        <v>1</v>
      </c>
      <c r="Q69" s="13" t="s">
        <v>115</v>
      </c>
      <c r="R69" s="13" t="s">
        <v>115</v>
      </c>
      <c r="S69" s="13" t="s">
        <v>115</v>
      </c>
      <c r="T69" s="13" t="s">
        <v>115</v>
      </c>
      <c r="U69" s="13" t="s">
        <v>115</v>
      </c>
      <c r="V69" t="s">
        <v>150</v>
      </c>
    </row>
    <row r="70" spans="1:22" x14ac:dyDescent="0.2">
      <c r="A70" s="13"/>
      <c r="B70" s="14"/>
      <c r="Q70" s="13"/>
      <c r="R70" s="13"/>
      <c r="S70" s="13"/>
      <c r="T70" s="13"/>
      <c r="U70" s="13"/>
    </row>
    <row r="71" spans="1:22" x14ac:dyDescent="0.2">
      <c r="A71" s="13"/>
      <c r="B71" s="14"/>
      <c r="Q71" s="13"/>
      <c r="R71" s="13"/>
      <c r="S71" s="13"/>
      <c r="T71" s="13"/>
      <c r="U71" s="13"/>
    </row>
    <row r="72" spans="1:22" x14ac:dyDescent="0.2">
      <c r="A72" s="13"/>
      <c r="B72" s="14"/>
      <c r="Q72" s="13"/>
      <c r="R72" s="13"/>
      <c r="S72" s="13"/>
      <c r="T72" s="13"/>
      <c r="U72" s="13"/>
    </row>
    <row r="73" spans="1:22" x14ac:dyDescent="0.2">
      <c r="A73" s="13"/>
      <c r="B73" s="14"/>
      <c r="Q73" s="13"/>
      <c r="R73" s="13"/>
      <c r="S73" s="13"/>
      <c r="T73" s="13"/>
      <c r="U73" s="13"/>
    </row>
    <row r="74" spans="1:22" x14ac:dyDescent="0.2">
      <c r="A74" s="13"/>
      <c r="B74" s="14"/>
      <c r="Q74" s="13"/>
      <c r="R74" s="13"/>
      <c r="S74" s="13"/>
      <c r="T74" s="13"/>
      <c r="U74" s="13"/>
    </row>
    <row r="75" spans="1:22" x14ac:dyDescent="0.2">
      <c r="A75" s="13"/>
      <c r="B75" s="14"/>
    </row>
    <row r="76" spans="1:22" x14ac:dyDescent="0.2">
      <c r="A76" s="13"/>
      <c r="B76" s="14"/>
    </row>
    <row r="77" spans="1:22" x14ac:dyDescent="0.2">
      <c r="A77" s="13"/>
      <c r="B77" s="14"/>
    </row>
    <row r="78" spans="1:22" x14ac:dyDescent="0.2">
      <c r="A78" s="13"/>
      <c r="B78" s="14"/>
    </row>
    <row r="79" spans="1:22" x14ac:dyDescent="0.2">
      <c r="A79" s="13"/>
      <c r="B79" s="14"/>
    </row>
    <row r="80" spans="1:22" x14ac:dyDescent="0.2">
      <c r="A80" s="13"/>
      <c r="B80" s="14"/>
    </row>
    <row r="81" spans="1:2" x14ac:dyDescent="0.2">
      <c r="A81" s="13"/>
      <c r="B81" s="14"/>
    </row>
    <row r="82" spans="1:2" x14ac:dyDescent="0.2">
      <c r="A82" s="13"/>
      <c r="B82" s="13"/>
    </row>
    <row r="83" spans="1:2" x14ac:dyDescent="0.2">
      <c r="A83" s="13"/>
      <c r="B83" s="13"/>
    </row>
    <row r="84" spans="1:2" x14ac:dyDescent="0.2">
      <c r="A84" s="13"/>
      <c r="B84" s="13"/>
    </row>
    <row r="85" spans="1:2" x14ac:dyDescent="0.2">
      <c r="A85" s="13"/>
      <c r="B85" s="13"/>
    </row>
    <row r="86" spans="1:2" x14ac:dyDescent="0.2">
      <c r="A86" s="13"/>
      <c r="B86" s="13"/>
    </row>
    <row r="87" spans="1:2" x14ac:dyDescent="0.2">
      <c r="A87" s="13"/>
      <c r="B87" s="13"/>
    </row>
    <row r="88" spans="1:2" x14ac:dyDescent="0.2">
      <c r="A88" s="13"/>
      <c r="B88" s="13"/>
    </row>
    <row r="89" spans="1:2" x14ac:dyDescent="0.2">
      <c r="A89" s="13"/>
      <c r="B89" s="13"/>
    </row>
    <row r="90" spans="1:2" x14ac:dyDescent="0.2">
      <c r="A90" s="13"/>
      <c r="B90" s="13"/>
    </row>
    <row r="91" spans="1:2" x14ac:dyDescent="0.2">
      <c r="A91" s="13"/>
      <c r="B91" s="13"/>
    </row>
    <row r="92" spans="1:2" x14ac:dyDescent="0.2">
      <c r="A92" s="13"/>
      <c r="B92" s="13"/>
    </row>
    <row r="93" spans="1:2" x14ac:dyDescent="0.2">
      <c r="A93" s="13"/>
      <c r="B93" s="13"/>
    </row>
    <row r="94" spans="1:2" x14ac:dyDescent="0.2">
      <c r="A94" s="13"/>
      <c r="B94" s="13"/>
    </row>
    <row r="95" spans="1:2" x14ac:dyDescent="0.2">
      <c r="A95" s="13"/>
      <c r="B95" s="13"/>
    </row>
    <row r="96" spans="1:2" x14ac:dyDescent="0.2">
      <c r="A96" s="13"/>
      <c r="B96" s="13"/>
    </row>
    <row r="97" spans="1:2" x14ac:dyDescent="0.2">
      <c r="A97" s="13"/>
      <c r="B97" s="13"/>
    </row>
    <row r="98" spans="1:2" x14ac:dyDescent="0.2">
      <c r="A98" s="13"/>
      <c r="B98" s="13"/>
    </row>
    <row r="99" spans="1:2" x14ac:dyDescent="0.2">
      <c r="A99" s="13"/>
      <c r="B99" s="13"/>
    </row>
    <row r="100" spans="1:2" x14ac:dyDescent="0.2">
      <c r="A100" s="13"/>
      <c r="B100" s="13"/>
    </row>
    <row r="101" spans="1:2" x14ac:dyDescent="0.2">
      <c r="A101" s="13"/>
      <c r="B101" s="13"/>
    </row>
    <row r="102" spans="1:2" x14ac:dyDescent="0.2">
      <c r="A102" s="13"/>
      <c r="B102" s="13"/>
    </row>
    <row r="103" spans="1:2" x14ac:dyDescent="0.2">
      <c r="A103" s="13"/>
      <c r="B103" s="13"/>
    </row>
    <row r="104" spans="1:2" x14ac:dyDescent="0.2">
      <c r="A104" s="13"/>
      <c r="B104" s="13"/>
    </row>
    <row r="105" spans="1:2" x14ac:dyDescent="0.2">
      <c r="A105" s="13"/>
      <c r="B105" s="13"/>
    </row>
    <row r="106" spans="1:2" x14ac:dyDescent="0.2">
      <c r="A106" s="13"/>
      <c r="B106" s="13"/>
    </row>
    <row r="107" spans="1:2" x14ac:dyDescent="0.2">
      <c r="A107" s="13"/>
      <c r="B107" s="13"/>
    </row>
    <row r="108" spans="1:2" x14ac:dyDescent="0.2">
      <c r="A108" s="13"/>
      <c r="B108" s="13"/>
    </row>
    <row r="109" spans="1:2" x14ac:dyDescent="0.2">
      <c r="A109" s="13"/>
      <c r="B109" s="13"/>
    </row>
    <row r="110" spans="1:2" x14ac:dyDescent="0.2">
      <c r="A110" s="13"/>
      <c r="B110" s="13"/>
    </row>
    <row r="111" spans="1:2" x14ac:dyDescent="0.2">
      <c r="A111" s="13"/>
      <c r="B111" s="13"/>
    </row>
    <row r="112" spans="1:2" x14ac:dyDescent="0.2">
      <c r="A112" s="13"/>
      <c r="B112" s="13"/>
    </row>
    <row r="113" spans="1:2" x14ac:dyDescent="0.2">
      <c r="A113" s="13"/>
      <c r="B113" s="13"/>
    </row>
    <row r="114" spans="1:2" x14ac:dyDescent="0.2">
      <c r="A114" s="13"/>
      <c r="B114" s="13"/>
    </row>
    <row r="115" spans="1:2" x14ac:dyDescent="0.2">
      <c r="A115" s="13"/>
      <c r="B115" s="13"/>
    </row>
    <row r="116" spans="1:2" x14ac:dyDescent="0.2">
      <c r="A116" s="13"/>
      <c r="B116" s="13"/>
    </row>
    <row r="117" spans="1:2" x14ac:dyDescent="0.2">
      <c r="A117" s="13"/>
      <c r="B117" s="13"/>
    </row>
    <row r="118" spans="1:2" x14ac:dyDescent="0.2">
      <c r="A118" s="13"/>
      <c r="B118" s="13"/>
    </row>
    <row r="119" spans="1:2" x14ac:dyDescent="0.2">
      <c r="A119" s="13"/>
      <c r="B119" s="13"/>
    </row>
    <row r="120" spans="1:2" x14ac:dyDescent="0.2">
      <c r="A120" s="13"/>
      <c r="B120" s="13"/>
    </row>
    <row r="121" spans="1:2" x14ac:dyDescent="0.2">
      <c r="A121" s="13"/>
      <c r="B121" s="13"/>
    </row>
    <row r="122" spans="1:2" x14ac:dyDescent="0.2">
      <c r="A122" s="13"/>
      <c r="B122" s="13"/>
    </row>
    <row r="123" spans="1:2" x14ac:dyDescent="0.2">
      <c r="A123" s="13"/>
      <c r="B123" s="13"/>
    </row>
    <row r="124" spans="1:2" x14ac:dyDescent="0.2">
      <c r="A124" s="13"/>
      <c r="B124" s="13"/>
    </row>
    <row r="125" spans="1:2" x14ac:dyDescent="0.2">
      <c r="A125" s="13"/>
      <c r="B125" s="13"/>
    </row>
    <row r="126" spans="1:2" x14ac:dyDescent="0.2">
      <c r="A126" s="13"/>
      <c r="B126" s="13"/>
    </row>
    <row r="127" spans="1:2" x14ac:dyDescent="0.2">
      <c r="A127" s="13"/>
      <c r="B127" s="13"/>
    </row>
    <row r="128" spans="1:2" x14ac:dyDescent="0.2">
      <c r="A128" s="13"/>
      <c r="B128" s="13"/>
    </row>
    <row r="129" spans="1:2" x14ac:dyDescent="0.2">
      <c r="A129" s="13"/>
      <c r="B129" s="13"/>
    </row>
    <row r="130" spans="1:2" x14ac:dyDescent="0.2">
      <c r="A130" s="13"/>
      <c r="B130" s="13"/>
    </row>
    <row r="131" spans="1:2" x14ac:dyDescent="0.2">
      <c r="A131" s="13"/>
      <c r="B131" s="13"/>
    </row>
    <row r="132" spans="1:2" x14ac:dyDescent="0.2">
      <c r="A132" s="13"/>
      <c r="B132" s="13"/>
    </row>
    <row r="133" spans="1:2" x14ac:dyDescent="0.2">
      <c r="A133" s="13"/>
      <c r="B133" s="13"/>
    </row>
    <row r="134" spans="1:2" x14ac:dyDescent="0.2">
      <c r="A134" s="13"/>
      <c r="B134" s="13"/>
    </row>
    <row r="135" spans="1:2" x14ac:dyDescent="0.2">
      <c r="A135" s="13"/>
      <c r="B135" s="13"/>
    </row>
    <row r="136" spans="1:2" x14ac:dyDescent="0.2">
      <c r="A136" s="13"/>
      <c r="B136" s="13"/>
    </row>
    <row r="137" spans="1:2" x14ac:dyDescent="0.2">
      <c r="A137" s="13"/>
      <c r="B137" s="13"/>
    </row>
    <row r="138" spans="1:2" x14ac:dyDescent="0.2">
      <c r="A138" s="13"/>
      <c r="B138" s="13"/>
    </row>
    <row r="139" spans="1:2" x14ac:dyDescent="0.2">
      <c r="A139" s="13"/>
      <c r="B139" s="13"/>
    </row>
    <row r="140" spans="1:2" x14ac:dyDescent="0.2">
      <c r="A140" s="13"/>
      <c r="B140" s="13"/>
    </row>
    <row r="141" spans="1:2" x14ac:dyDescent="0.2">
      <c r="A141" s="13"/>
      <c r="B141" s="13"/>
    </row>
    <row r="142" spans="1:2" x14ac:dyDescent="0.2">
      <c r="A142" s="13"/>
      <c r="B142" s="13"/>
    </row>
    <row r="143" spans="1:2" x14ac:dyDescent="0.2">
      <c r="A143" s="13"/>
      <c r="B143" s="13"/>
    </row>
    <row r="144" spans="1:2" x14ac:dyDescent="0.2">
      <c r="A144" s="13"/>
      <c r="B144" s="13"/>
    </row>
    <row r="145" spans="1:2" x14ac:dyDescent="0.2">
      <c r="A145" s="13"/>
      <c r="B145" s="13"/>
    </row>
    <row r="146" spans="1:2" x14ac:dyDescent="0.2">
      <c r="A146" s="13"/>
      <c r="B146" s="13"/>
    </row>
    <row r="147" spans="1:2" x14ac:dyDescent="0.2">
      <c r="A147" s="13"/>
      <c r="B147" s="13"/>
    </row>
    <row r="148" spans="1:2" x14ac:dyDescent="0.2">
      <c r="A148" s="13"/>
      <c r="B148" s="13"/>
    </row>
    <row r="149" spans="1:2" x14ac:dyDescent="0.2">
      <c r="A149" s="13"/>
      <c r="B149" s="13"/>
    </row>
    <row r="150" spans="1:2" x14ac:dyDescent="0.2">
      <c r="A150" s="13"/>
      <c r="B150" s="13"/>
    </row>
    <row r="151" spans="1:2" x14ac:dyDescent="0.2">
      <c r="A151" s="13"/>
      <c r="B151" s="13"/>
    </row>
    <row r="152" spans="1:2" x14ac:dyDescent="0.2">
      <c r="A152" s="13"/>
      <c r="B152" s="13"/>
    </row>
    <row r="153" spans="1:2" x14ac:dyDescent="0.2">
      <c r="A153" s="13"/>
      <c r="B153" s="13"/>
    </row>
    <row r="154" spans="1:2" x14ac:dyDescent="0.2">
      <c r="A154" s="13"/>
      <c r="B154" s="13"/>
    </row>
    <row r="155" spans="1:2" x14ac:dyDescent="0.2">
      <c r="A155" s="13"/>
      <c r="B155" s="13"/>
    </row>
    <row r="156" spans="1:2" x14ac:dyDescent="0.2">
      <c r="A156" s="13"/>
      <c r="B156" s="13"/>
    </row>
    <row r="157" spans="1:2" x14ac:dyDescent="0.2">
      <c r="A157" s="13"/>
      <c r="B157" s="13"/>
    </row>
    <row r="158" spans="1:2" x14ac:dyDescent="0.2">
      <c r="A158" s="13"/>
      <c r="B158" s="13"/>
    </row>
    <row r="159" spans="1:2" x14ac:dyDescent="0.2">
      <c r="A159" s="13"/>
      <c r="B159" s="13"/>
    </row>
    <row r="160" spans="1:2" x14ac:dyDescent="0.2">
      <c r="A160" s="13"/>
      <c r="B160" s="13"/>
    </row>
    <row r="161" spans="1:2" x14ac:dyDescent="0.2">
      <c r="A161" s="13"/>
      <c r="B161" s="13"/>
    </row>
    <row r="162" spans="1:2" x14ac:dyDescent="0.2">
      <c r="A162" s="13"/>
      <c r="B162" s="13"/>
    </row>
    <row r="163" spans="1:2" x14ac:dyDescent="0.2">
      <c r="A163" s="13"/>
      <c r="B163" s="13"/>
    </row>
    <row r="164" spans="1:2" x14ac:dyDescent="0.2">
      <c r="A164" s="13"/>
      <c r="B164" s="13"/>
    </row>
    <row r="165" spans="1:2" x14ac:dyDescent="0.2">
      <c r="A165" s="13"/>
      <c r="B165" s="13"/>
    </row>
    <row r="166" spans="1:2" x14ac:dyDescent="0.2">
      <c r="A166" s="13"/>
      <c r="B166" s="13"/>
    </row>
    <row r="167" spans="1:2" x14ac:dyDescent="0.2">
      <c r="A167" s="13"/>
      <c r="B167" s="13"/>
    </row>
    <row r="168" spans="1:2" x14ac:dyDescent="0.2">
      <c r="A168" s="13"/>
      <c r="B168" s="13"/>
    </row>
    <row r="169" spans="1:2" x14ac:dyDescent="0.2">
      <c r="A169" s="13"/>
      <c r="B169" s="13"/>
    </row>
    <row r="170" spans="1:2" x14ac:dyDescent="0.2">
      <c r="A170" s="13"/>
      <c r="B170" s="13"/>
    </row>
    <row r="171" spans="1:2" x14ac:dyDescent="0.2">
      <c r="A171" s="13"/>
      <c r="B171" s="13"/>
    </row>
    <row r="172" spans="1:2" x14ac:dyDescent="0.2">
      <c r="A172" s="13"/>
      <c r="B172" s="13"/>
    </row>
    <row r="173" spans="1:2" x14ac:dyDescent="0.2">
      <c r="A173" s="13"/>
      <c r="B173" s="13"/>
    </row>
    <row r="174" spans="1:2" x14ac:dyDescent="0.2">
      <c r="A174" s="13"/>
      <c r="B174" s="13"/>
    </row>
    <row r="175" spans="1:2" x14ac:dyDescent="0.2">
      <c r="A175" s="13"/>
      <c r="B175" s="13"/>
    </row>
    <row r="176" spans="1:2" x14ac:dyDescent="0.2">
      <c r="A176" s="13"/>
      <c r="B176" s="13"/>
    </row>
    <row r="177" spans="1:2" x14ac:dyDescent="0.2">
      <c r="A177" s="13"/>
      <c r="B177" s="13"/>
    </row>
    <row r="178" spans="1:2" x14ac:dyDescent="0.2">
      <c r="A178" s="13"/>
      <c r="B178" s="13"/>
    </row>
    <row r="179" spans="1:2" x14ac:dyDescent="0.2">
      <c r="A179" s="13"/>
      <c r="B179" s="13"/>
    </row>
    <row r="180" spans="1:2" x14ac:dyDescent="0.2">
      <c r="A180" s="13"/>
      <c r="B180" s="13"/>
    </row>
    <row r="181" spans="1:2" x14ac:dyDescent="0.2">
      <c r="A181" s="13"/>
      <c r="B181" s="13"/>
    </row>
    <row r="182" spans="1:2" x14ac:dyDescent="0.2">
      <c r="A182" s="13"/>
      <c r="B182" s="13"/>
    </row>
    <row r="183" spans="1:2" x14ac:dyDescent="0.2">
      <c r="A183" s="13"/>
      <c r="B183" s="13"/>
    </row>
    <row r="184" spans="1:2" x14ac:dyDescent="0.2">
      <c r="A184" s="13"/>
      <c r="B184" s="13"/>
    </row>
    <row r="185" spans="1:2" x14ac:dyDescent="0.2">
      <c r="A185" s="13"/>
      <c r="B185" s="13"/>
    </row>
    <row r="186" spans="1:2" x14ac:dyDescent="0.2">
      <c r="A186" s="13"/>
      <c r="B186" s="13"/>
    </row>
    <row r="187" spans="1:2" x14ac:dyDescent="0.2">
      <c r="A187" s="13"/>
      <c r="B187" s="13"/>
    </row>
    <row r="188" spans="1:2" x14ac:dyDescent="0.2">
      <c r="A188" s="13"/>
      <c r="B188" s="13"/>
    </row>
    <row r="189" spans="1:2" x14ac:dyDescent="0.2">
      <c r="A189" s="13"/>
      <c r="B189" s="13"/>
    </row>
    <row r="190" spans="1:2" x14ac:dyDescent="0.2">
      <c r="A190" s="13"/>
      <c r="B190" s="13"/>
    </row>
    <row r="191" spans="1:2" x14ac:dyDescent="0.2">
      <c r="A191" s="13"/>
      <c r="B191" s="13"/>
    </row>
    <row r="192" spans="1:2" x14ac:dyDescent="0.2">
      <c r="A192" s="13"/>
      <c r="B192" s="13"/>
    </row>
    <row r="193" spans="1:2" x14ac:dyDescent="0.2">
      <c r="A193" s="13"/>
      <c r="B193" s="13"/>
    </row>
    <row r="194" spans="1:2" x14ac:dyDescent="0.2">
      <c r="A194" s="13"/>
      <c r="B194" s="13"/>
    </row>
    <row r="195" spans="1:2" x14ac:dyDescent="0.2">
      <c r="A195" s="13"/>
      <c r="B195" s="13"/>
    </row>
    <row r="196" spans="1:2" x14ac:dyDescent="0.2">
      <c r="A196" s="13"/>
      <c r="B196" s="13"/>
    </row>
    <row r="197" spans="1:2" x14ac:dyDescent="0.2">
      <c r="A197" s="13"/>
      <c r="B197" s="13"/>
    </row>
    <row r="198" spans="1:2" x14ac:dyDescent="0.2">
      <c r="A198" s="13"/>
      <c r="B198" s="13"/>
    </row>
    <row r="199" spans="1:2" x14ac:dyDescent="0.2">
      <c r="A199" s="13"/>
      <c r="B199" s="13"/>
    </row>
    <row r="200" spans="1:2" x14ac:dyDescent="0.2">
      <c r="A200" s="13"/>
      <c r="B200" s="13"/>
    </row>
    <row r="201" spans="1:2" x14ac:dyDescent="0.2">
      <c r="A201" s="13"/>
      <c r="B201" s="13"/>
    </row>
    <row r="202" spans="1:2" x14ac:dyDescent="0.2">
      <c r="A202" s="13"/>
      <c r="B202" s="13"/>
    </row>
    <row r="203" spans="1:2" x14ac:dyDescent="0.2">
      <c r="A203" s="13"/>
      <c r="B203" s="13"/>
    </row>
    <row r="204" spans="1:2" x14ac:dyDescent="0.2">
      <c r="A204" s="13"/>
      <c r="B204" s="13"/>
    </row>
    <row r="205" spans="1:2" x14ac:dyDescent="0.2">
      <c r="A205" s="13"/>
      <c r="B205" s="13"/>
    </row>
    <row r="206" spans="1:2" x14ac:dyDescent="0.2">
      <c r="A206" s="13"/>
      <c r="B206" s="13"/>
    </row>
    <row r="207" spans="1:2" x14ac:dyDescent="0.2">
      <c r="A207" s="13"/>
      <c r="B207" s="13"/>
    </row>
    <row r="208" spans="1:2" x14ac:dyDescent="0.2">
      <c r="A208" s="13"/>
      <c r="B208" s="13"/>
    </row>
    <row r="209" spans="1:2" x14ac:dyDescent="0.2">
      <c r="A209" s="13"/>
      <c r="B209" s="13"/>
    </row>
    <row r="210" spans="1:2" x14ac:dyDescent="0.2">
      <c r="A210" s="13"/>
      <c r="B210" s="13"/>
    </row>
    <row r="211" spans="1:2" x14ac:dyDescent="0.2">
      <c r="A211" s="13"/>
      <c r="B211" s="13"/>
    </row>
    <row r="212" spans="1:2" x14ac:dyDescent="0.2">
      <c r="A212" s="13"/>
      <c r="B212" s="13"/>
    </row>
    <row r="213" spans="1:2" x14ac:dyDescent="0.2">
      <c r="A213" s="13"/>
      <c r="B213" s="13"/>
    </row>
    <row r="214" spans="1:2" x14ac:dyDescent="0.2">
      <c r="A214" s="13"/>
      <c r="B214" s="13"/>
    </row>
    <row r="215" spans="1:2" x14ac:dyDescent="0.2">
      <c r="A215" s="13"/>
      <c r="B215" s="13"/>
    </row>
    <row r="216" spans="1:2" x14ac:dyDescent="0.2">
      <c r="A216" s="13"/>
      <c r="B216" s="13"/>
    </row>
    <row r="217" spans="1:2" x14ac:dyDescent="0.2">
      <c r="A217" s="13"/>
      <c r="B217" s="13"/>
    </row>
    <row r="218" spans="1:2" x14ac:dyDescent="0.2">
      <c r="A218" s="13"/>
      <c r="B218" s="13"/>
    </row>
    <row r="219" spans="1:2" x14ac:dyDescent="0.2">
      <c r="A219" s="13"/>
      <c r="B219" s="13"/>
    </row>
    <row r="220" spans="1:2" x14ac:dyDescent="0.2">
      <c r="A220" s="13"/>
      <c r="B220" s="13"/>
    </row>
    <row r="221" spans="1:2" x14ac:dyDescent="0.2">
      <c r="A221" s="13"/>
      <c r="B221" s="13"/>
    </row>
    <row r="222" spans="1:2" x14ac:dyDescent="0.2">
      <c r="A222" s="13"/>
      <c r="B222" s="13"/>
    </row>
    <row r="223" spans="1:2" x14ac:dyDescent="0.2">
      <c r="A223" s="13"/>
      <c r="B223" s="13"/>
    </row>
    <row r="224" spans="1:2" x14ac:dyDescent="0.2">
      <c r="A224" s="13"/>
      <c r="B224" s="13"/>
    </row>
    <row r="225" spans="1:2" x14ac:dyDescent="0.2">
      <c r="A225" s="13"/>
      <c r="B225" s="13"/>
    </row>
    <row r="226" spans="1:2" x14ac:dyDescent="0.2">
      <c r="A226" s="13"/>
      <c r="B226" s="13"/>
    </row>
    <row r="227" spans="1:2" x14ac:dyDescent="0.2">
      <c r="A227" s="13"/>
      <c r="B227" s="13"/>
    </row>
    <row r="228" spans="1:2" x14ac:dyDescent="0.2">
      <c r="A228" s="13"/>
      <c r="B228" s="13"/>
    </row>
    <row r="229" spans="1:2" x14ac:dyDescent="0.2">
      <c r="A229" s="13"/>
      <c r="B229" s="13"/>
    </row>
    <row r="230" spans="1:2" x14ac:dyDescent="0.2">
      <c r="A230" s="13"/>
      <c r="B230" s="13"/>
    </row>
    <row r="231" spans="1:2" x14ac:dyDescent="0.2">
      <c r="A231" s="13"/>
      <c r="B231" s="13"/>
    </row>
    <row r="232" spans="1:2" x14ac:dyDescent="0.2">
      <c r="A232" s="13"/>
      <c r="B232" s="13"/>
    </row>
    <row r="233" spans="1:2" x14ac:dyDescent="0.2">
      <c r="A233" s="13"/>
      <c r="B233" s="13"/>
    </row>
    <row r="234" spans="1:2" x14ac:dyDescent="0.2">
      <c r="A234" s="13"/>
      <c r="B234" s="13"/>
    </row>
    <row r="235" spans="1:2" x14ac:dyDescent="0.2">
      <c r="A235" s="13"/>
      <c r="B235" s="13"/>
    </row>
    <row r="236" spans="1:2" x14ac:dyDescent="0.2">
      <c r="A236" s="13"/>
      <c r="B236" s="13"/>
    </row>
    <row r="237" spans="1:2" x14ac:dyDescent="0.2">
      <c r="A237" s="13"/>
      <c r="B237" s="13"/>
    </row>
    <row r="238" spans="1:2" x14ac:dyDescent="0.2">
      <c r="A238" s="13"/>
      <c r="B238" s="13"/>
    </row>
    <row r="239" spans="1:2" x14ac:dyDescent="0.2">
      <c r="A239" s="13"/>
      <c r="B239" s="13"/>
    </row>
    <row r="240" spans="1:2" x14ac:dyDescent="0.2">
      <c r="A240" s="13"/>
      <c r="B240" s="13"/>
    </row>
    <row r="241" spans="1:2" x14ac:dyDescent="0.2">
      <c r="A241" s="13"/>
      <c r="B241" s="13"/>
    </row>
    <row r="242" spans="1:2" x14ac:dyDescent="0.2">
      <c r="A242" s="13"/>
      <c r="B242" s="13"/>
    </row>
    <row r="243" spans="1:2" x14ac:dyDescent="0.2">
      <c r="A243" s="13"/>
      <c r="B243" s="13"/>
    </row>
    <row r="244" spans="1:2" x14ac:dyDescent="0.2">
      <c r="A244" s="13"/>
      <c r="B244" s="13"/>
    </row>
    <row r="245" spans="1:2" x14ac:dyDescent="0.2">
      <c r="A245" s="13"/>
      <c r="B245" s="13"/>
    </row>
    <row r="246" spans="1:2" x14ac:dyDescent="0.2">
      <c r="A246" s="13"/>
      <c r="B246" s="13"/>
    </row>
    <row r="247" spans="1:2" x14ac:dyDescent="0.2">
      <c r="A247" s="13"/>
      <c r="B247" s="13"/>
    </row>
    <row r="248" spans="1:2" x14ac:dyDescent="0.2">
      <c r="A248" s="13"/>
      <c r="B248" s="13"/>
    </row>
    <row r="249" spans="1:2" x14ac:dyDescent="0.2">
      <c r="A249" s="13"/>
      <c r="B249" s="13"/>
    </row>
    <row r="250" spans="1:2" x14ac:dyDescent="0.2">
      <c r="A250" s="13"/>
      <c r="B250" s="13"/>
    </row>
    <row r="251" spans="1:2" x14ac:dyDescent="0.2">
      <c r="A251" s="13"/>
      <c r="B251" s="13"/>
    </row>
    <row r="252" spans="1:2" x14ac:dyDescent="0.2">
      <c r="A252" s="13"/>
      <c r="B252" s="13"/>
    </row>
    <row r="253" spans="1:2" x14ac:dyDescent="0.2">
      <c r="A253" s="13"/>
      <c r="B253" s="13"/>
    </row>
    <row r="254" spans="1:2" x14ac:dyDescent="0.2">
      <c r="A254" s="13"/>
      <c r="B254" s="13"/>
    </row>
    <row r="255" spans="1:2" x14ac:dyDescent="0.2">
      <c r="A255" s="13"/>
      <c r="B255" s="13"/>
    </row>
    <row r="256" spans="1:2" x14ac:dyDescent="0.2">
      <c r="A256" s="13"/>
      <c r="B256" s="13"/>
    </row>
    <row r="257" spans="1:2" x14ac:dyDescent="0.2">
      <c r="A257" s="13"/>
      <c r="B257" s="13"/>
    </row>
    <row r="258" spans="1:2" x14ac:dyDescent="0.2">
      <c r="A258" s="13"/>
      <c r="B258" s="13"/>
    </row>
    <row r="259" spans="1:2" x14ac:dyDescent="0.2">
      <c r="A259" s="13"/>
      <c r="B259" s="13"/>
    </row>
    <row r="260" spans="1:2" x14ac:dyDescent="0.2">
      <c r="A260" s="13"/>
      <c r="B260" s="13"/>
    </row>
    <row r="261" spans="1:2" x14ac:dyDescent="0.2">
      <c r="A261" s="13"/>
      <c r="B261" s="13"/>
    </row>
    <row r="262" spans="1:2" x14ac:dyDescent="0.2">
      <c r="A262" s="13"/>
      <c r="B262" s="13"/>
    </row>
    <row r="263" spans="1:2" x14ac:dyDescent="0.2">
      <c r="A263" s="13"/>
      <c r="B263" s="13"/>
    </row>
    <row r="264" spans="1:2" x14ac:dyDescent="0.2">
      <c r="A264" s="13"/>
      <c r="B264" s="13"/>
    </row>
    <row r="265" spans="1:2" x14ac:dyDescent="0.2">
      <c r="A265" s="13"/>
      <c r="B265" s="13"/>
    </row>
    <row r="266" spans="1:2" x14ac:dyDescent="0.2">
      <c r="A266" s="13"/>
      <c r="B266" s="13"/>
    </row>
    <row r="267" spans="1:2" x14ac:dyDescent="0.2">
      <c r="A267" s="13"/>
      <c r="B267" s="13"/>
    </row>
    <row r="268" spans="1:2" x14ac:dyDescent="0.2">
      <c r="A268" s="13"/>
      <c r="B268" s="13"/>
    </row>
    <row r="269" spans="1:2" x14ac:dyDescent="0.2">
      <c r="A269" s="13"/>
      <c r="B269" s="13"/>
    </row>
    <row r="270" spans="1:2" x14ac:dyDescent="0.2">
      <c r="A270" s="13"/>
      <c r="B270" s="13"/>
    </row>
    <row r="271" spans="1:2" x14ac:dyDescent="0.2">
      <c r="A271" s="13"/>
      <c r="B271" s="13"/>
    </row>
    <row r="272" spans="1:2" x14ac:dyDescent="0.2">
      <c r="A272" s="13"/>
      <c r="B272" s="13"/>
    </row>
    <row r="273" spans="1:2" x14ac:dyDescent="0.2">
      <c r="A273" s="13"/>
      <c r="B273" s="13"/>
    </row>
    <row r="274" spans="1:2" x14ac:dyDescent="0.2">
      <c r="A274" s="13"/>
      <c r="B274" s="13"/>
    </row>
    <row r="275" spans="1:2" x14ac:dyDescent="0.2">
      <c r="A275" s="13"/>
      <c r="B275" s="13"/>
    </row>
    <row r="276" spans="1:2" x14ac:dyDescent="0.2">
      <c r="A276" s="13"/>
      <c r="B276" s="13"/>
    </row>
    <row r="277" spans="1:2" x14ac:dyDescent="0.2">
      <c r="A277" s="13"/>
      <c r="B277" s="13"/>
    </row>
    <row r="278" spans="1:2" x14ac:dyDescent="0.2">
      <c r="A278" s="13"/>
      <c r="B278" s="13"/>
    </row>
    <row r="279" spans="1:2" x14ac:dyDescent="0.2">
      <c r="A279" s="13"/>
      <c r="B279" s="13"/>
    </row>
    <row r="280" spans="1:2" x14ac:dyDescent="0.2">
      <c r="A280" s="13"/>
      <c r="B280" s="13"/>
    </row>
    <row r="281" spans="1:2" x14ac:dyDescent="0.2">
      <c r="A281" s="13"/>
      <c r="B281" s="13"/>
    </row>
    <row r="282" spans="1:2" x14ac:dyDescent="0.2">
      <c r="A282" s="13"/>
      <c r="B282" s="13"/>
    </row>
    <row r="283" spans="1:2" x14ac:dyDescent="0.2">
      <c r="A283" s="13"/>
      <c r="B283" s="14"/>
    </row>
    <row r="284" spans="1:2" x14ac:dyDescent="0.2">
      <c r="A284" s="13"/>
      <c r="B284" s="14"/>
    </row>
    <row r="285" spans="1:2" x14ac:dyDescent="0.2">
      <c r="A285" s="13"/>
      <c r="B285" s="13"/>
    </row>
    <row r="286" spans="1:2" x14ac:dyDescent="0.2">
      <c r="A286" s="13"/>
      <c r="B286" s="13"/>
    </row>
    <row r="287" spans="1:2" x14ac:dyDescent="0.2">
      <c r="A287" s="13"/>
      <c r="B287" s="13"/>
    </row>
    <row r="288" spans="1:2" x14ac:dyDescent="0.2">
      <c r="A288" s="13"/>
      <c r="B288" s="13"/>
    </row>
    <row r="289" spans="1:2" x14ac:dyDescent="0.2">
      <c r="A289" s="13"/>
      <c r="B289" s="13"/>
    </row>
    <row r="290" spans="1:2" x14ac:dyDescent="0.2">
      <c r="A290" s="13"/>
      <c r="B290" s="13"/>
    </row>
    <row r="291" spans="1:2" x14ac:dyDescent="0.2">
      <c r="A291" s="13"/>
      <c r="B291" s="13"/>
    </row>
    <row r="292" spans="1:2" x14ac:dyDescent="0.2">
      <c r="A292" s="13"/>
      <c r="B292" s="13"/>
    </row>
    <row r="293" spans="1:2" x14ac:dyDescent="0.2">
      <c r="A293" s="13"/>
      <c r="B293" s="13"/>
    </row>
    <row r="294" spans="1:2" x14ac:dyDescent="0.2">
      <c r="A294" s="13"/>
      <c r="B294" s="13"/>
    </row>
    <row r="295" spans="1:2" x14ac:dyDescent="0.2">
      <c r="A295" s="13"/>
      <c r="B295" s="13"/>
    </row>
    <row r="296" spans="1:2" x14ac:dyDescent="0.2">
      <c r="A296" s="13"/>
      <c r="B296" s="13"/>
    </row>
    <row r="297" spans="1:2" x14ac:dyDescent="0.2">
      <c r="A297" s="13"/>
      <c r="B297" s="13"/>
    </row>
    <row r="298" spans="1:2" x14ac:dyDescent="0.2">
      <c r="A298" s="13"/>
      <c r="B298" s="13"/>
    </row>
    <row r="299" spans="1:2" x14ac:dyDescent="0.2">
      <c r="A299" s="13"/>
      <c r="B299" s="13"/>
    </row>
    <row r="300" spans="1:2" x14ac:dyDescent="0.2">
      <c r="A300" s="13"/>
      <c r="B300" s="13"/>
    </row>
    <row r="301" spans="1:2" x14ac:dyDescent="0.2">
      <c r="A301" s="13"/>
      <c r="B301" s="13"/>
    </row>
    <row r="302" spans="1:2" x14ac:dyDescent="0.2">
      <c r="A302" s="13"/>
      <c r="B302" s="13"/>
    </row>
    <row r="303" spans="1:2" x14ac:dyDescent="0.2">
      <c r="A303" s="13"/>
      <c r="B303" s="13"/>
    </row>
    <row r="304" spans="1:2" x14ac:dyDescent="0.2">
      <c r="A304" s="13"/>
      <c r="B304" s="13"/>
    </row>
    <row r="305" spans="1:2" x14ac:dyDescent="0.2">
      <c r="A305" s="13"/>
      <c r="B305" s="13"/>
    </row>
    <row r="306" spans="1:2" x14ac:dyDescent="0.2">
      <c r="A306" s="13"/>
      <c r="B306" s="13"/>
    </row>
    <row r="307" spans="1:2" x14ac:dyDescent="0.2">
      <c r="A307" s="13"/>
      <c r="B307" s="13"/>
    </row>
    <row r="308" spans="1:2" x14ac:dyDescent="0.2">
      <c r="A308" s="13"/>
      <c r="B308" s="13"/>
    </row>
    <row r="309" spans="1:2" x14ac:dyDescent="0.2">
      <c r="A309" s="13"/>
      <c r="B309" s="13"/>
    </row>
    <row r="310" spans="1:2" x14ac:dyDescent="0.2">
      <c r="A310" s="13"/>
      <c r="B310" s="13"/>
    </row>
    <row r="311" spans="1:2" x14ac:dyDescent="0.2">
      <c r="A311" s="13"/>
      <c r="B311" s="13"/>
    </row>
    <row r="312" spans="1:2" x14ac:dyDescent="0.2">
      <c r="A312" s="13"/>
      <c r="B312" s="13"/>
    </row>
    <row r="313" spans="1:2" x14ac:dyDescent="0.2">
      <c r="A313" s="13"/>
      <c r="B313" s="13"/>
    </row>
    <row r="314" spans="1:2" x14ac:dyDescent="0.2">
      <c r="A314" s="13"/>
      <c r="B314" s="13"/>
    </row>
    <row r="315" spans="1:2" x14ac:dyDescent="0.2">
      <c r="A315" s="13"/>
      <c r="B315" s="13"/>
    </row>
    <row r="316" spans="1:2" x14ac:dyDescent="0.2">
      <c r="A316" s="13"/>
      <c r="B316" s="13"/>
    </row>
    <row r="317" spans="1:2" x14ac:dyDescent="0.2">
      <c r="A317" s="13"/>
      <c r="B317" s="13"/>
    </row>
    <row r="318" spans="1:2" x14ac:dyDescent="0.2">
      <c r="A318" s="13"/>
      <c r="B318" s="13"/>
    </row>
    <row r="319" spans="1:2" x14ac:dyDescent="0.2">
      <c r="A319" s="13"/>
      <c r="B319" s="13"/>
    </row>
    <row r="320" spans="1:2" x14ac:dyDescent="0.2">
      <c r="A320" s="13"/>
      <c r="B320" s="13"/>
    </row>
    <row r="321" spans="1:2" x14ac:dyDescent="0.2">
      <c r="A321" s="13"/>
      <c r="B321" s="13"/>
    </row>
    <row r="322" spans="1:2" x14ac:dyDescent="0.2">
      <c r="A322" s="13"/>
      <c r="B322" s="13"/>
    </row>
    <row r="323" spans="1:2" x14ac:dyDescent="0.2">
      <c r="A323" s="13"/>
      <c r="B323" s="13"/>
    </row>
    <row r="324" spans="1:2" x14ac:dyDescent="0.2">
      <c r="A324" s="13"/>
      <c r="B324" s="13"/>
    </row>
    <row r="325" spans="1:2" x14ac:dyDescent="0.2">
      <c r="A325" s="13"/>
      <c r="B325" s="13"/>
    </row>
    <row r="326" spans="1:2" x14ac:dyDescent="0.2">
      <c r="A326" s="13"/>
      <c r="B326" s="13"/>
    </row>
    <row r="327" spans="1:2" x14ac:dyDescent="0.2">
      <c r="A327" s="13"/>
      <c r="B327" s="13"/>
    </row>
    <row r="328" spans="1:2" x14ac:dyDescent="0.2">
      <c r="A328" s="13"/>
      <c r="B328" s="13"/>
    </row>
    <row r="329" spans="1:2" x14ac:dyDescent="0.2">
      <c r="A329" s="13"/>
      <c r="B329" s="13"/>
    </row>
    <row r="330" spans="1:2" x14ac:dyDescent="0.2">
      <c r="A330" s="13"/>
      <c r="B330" s="13"/>
    </row>
    <row r="331" spans="1:2" x14ac:dyDescent="0.2">
      <c r="A331" s="13"/>
      <c r="B331" s="13"/>
    </row>
    <row r="332" spans="1:2" x14ac:dyDescent="0.2">
      <c r="A332" s="13"/>
      <c r="B332" s="13"/>
    </row>
    <row r="333" spans="1:2" x14ac:dyDescent="0.2">
      <c r="A333" s="13"/>
      <c r="B333" s="13"/>
    </row>
    <row r="334" spans="1:2" x14ac:dyDescent="0.2">
      <c r="A334" s="13"/>
      <c r="B334" s="13"/>
    </row>
    <row r="335" spans="1:2" x14ac:dyDescent="0.2">
      <c r="A335" s="13"/>
      <c r="B335" s="13"/>
    </row>
    <row r="336" spans="1:2" x14ac:dyDescent="0.2">
      <c r="A336" s="13"/>
      <c r="B336" s="13"/>
    </row>
    <row r="337" spans="1:2" x14ac:dyDescent="0.2">
      <c r="A337" s="13"/>
      <c r="B337" s="13"/>
    </row>
    <row r="338" spans="1:2" x14ac:dyDescent="0.2">
      <c r="A338" s="13"/>
      <c r="B338" s="13"/>
    </row>
    <row r="339" spans="1:2" x14ac:dyDescent="0.2">
      <c r="A339" s="13"/>
      <c r="B339" s="13"/>
    </row>
    <row r="340" spans="1:2" x14ac:dyDescent="0.2">
      <c r="A340" s="13"/>
      <c r="B340" s="13"/>
    </row>
    <row r="341" spans="1:2" x14ac:dyDescent="0.2">
      <c r="A341" s="13"/>
      <c r="B341" s="13"/>
    </row>
    <row r="342" spans="1:2" x14ac:dyDescent="0.2">
      <c r="A342" s="13"/>
      <c r="B342" s="13"/>
    </row>
    <row r="343" spans="1:2" x14ac:dyDescent="0.2">
      <c r="B343" s="13"/>
    </row>
    <row r="344" spans="1:2" x14ac:dyDescent="0.2">
      <c r="B344" s="13"/>
    </row>
    <row r="345" spans="1:2" x14ac:dyDescent="0.2">
      <c r="B345" s="13"/>
    </row>
    <row r="346" spans="1:2" x14ac:dyDescent="0.2">
      <c r="B346" s="13"/>
    </row>
    <row r="347" spans="1:2" x14ac:dyDescent="0.2">
      <c r="B347" s="13"/>
    </row>
    <row r="348" spans="1:2" x14ac:dyDescent="0.2">
      <c r="B348" s="13"/>
    </row>
    <row r="349" spans="1:2" x14ac:dyDescent="0.2">
      <c r="B349" s="13"/>
    </row>
    <row r="350" spans="1:2" x14ac:dyDescent="0.2">
      <c r="B350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EF2C-F6FC-4764-9435-572411B79D44}">
  <sheetPr codeName="Sheet3"/>
  <dimension ref="A1:F25"/>
  <sheetViews>
    <sheetView topLeftCell="A4" zoomScaleNormal="100" workbookViewId="0">
      <selection activeCell="F33" sqref="F33"/>
    </sheetView>
  </sheetViews>
  <sheetFormatPr defaultRowHeight="14.25" x14ac:dyDescent="0.2"/>
  <cols>
    <col min="1" max="1" width="21.375" bestFit="1" customWidth="1"/>
    <col min="2" max="3" width="19.25" bestFit="1" customWidth="1"/>
    <col min="4" max="5" width="17.25" bestFit="1" customWidth="1"/>
    <col min="6" max="6" width="15.125" bestFit="1" customWidth="1"/>
  </cols>
  <sheetData>
    <row r="1" spans="1:6" x14ac:dyDescent="0.2">
      <c r="B1" t="s">
        <v>123</v>
      </c>
      <c r="C1" t="s">
        <v>124</v>
      </c>
      <c r="D1" t="s">
        <v>125</v>
      </c>
      <c r="E1" t="s">
        <v>126</v>
      </c>
      <c r="F1" t="s">
        <v>127</v>
      </c>
    </row>
    <row r="2" spans="1:6" x14ac:dyDescent="0.2">
      <c r="A2" t="s">
        <v>128</v>
      </c>
      <c r="B2">
        <f>COUNTIF(Sheet2!$Q$2:$Q$251,"是")</f>
        <v>51</v>
      </c>
      <c r="C2">
        <f>COUNTIF(Sheet2!$R$2:$R$251,"是")</f>
        <v>43</v>
      </c>
      <c r="D2">
        <f>COUNTIF(Sheet2!$S$2:$S$251,"是")</f>
        <v>20</v>
      </c>
      <c r="E2">
        <f>COUNTIF(Sheet2!$T$2:$T$251,"是")</f>
        <v>27</v>
      </c>
      <c r="F2">
        <f>COUNTIF(Sheet2!$U$2:$U$251,"是")</f>
        <v>32</v>
      </c>
    </row>
    <row r="3" spans="1:6" x14ac:dyDescent="0.2">
      <c r="A3" t="s">
        <v>129</v>
      </c>
      <c r="B3">
        <f>COUNTIF(Sheet2!$Q$2:$Q$251,"否")</f>
        <v>17</v>
      </c>
      <c r="C3">
        <f>COUNTIF(Sheet2!$R$2:$R$251,"否")</f>
        <v>25</v>
      </c>
      <c r="D3">
        <f>COUNTIF(Sheet2!$S$2:$S$251,"否")</f>
        <v>48</v>
      </c>
      <c r="E3">
        <f>COUNTIF(Sheet2!$T$2:$T$251,"否")</f>
        <v>41</v>
      </c>
      <c r="F3">
        <f>COUNTIF(Sheet2!$U$2:$U$251,"否")</f>
        <v>36</v>
      </c>
    </row>
    <row r="24" spans="1:5" x14ac:dyDescent="0.2">
      <c r="A24" t="s">
        <v>142</v>
      </c>
      <c r="B24" t="s">
        <v>143</v>
      </c>
      <c r="C24" t="s">
        <v>144</v>
      </c>
      <c r="D24" t="s">
        <v>148</v>
      </c>
      <c r="E24" t="s">
        <v>147</v>
      </c>
    </row>
    <row r="25" spans="1:5" x14ac:dyDescent="0.2">
      <c r="A25">
        <f>COUNTIF(Sheet2!$V$2:$V$199,"拯救了孙老师")</f>
        <v>13</v>
      </c>
      <c r="B25">
        <f>COUNTIF(Sheet2!$V$2:$V$199,"拯救了徐老师")</f>
        <v>12</v>
      </c>
      <c r="C25">
        <f>COUNTIF(Sheet2!$V$2:$V$199,"假装没看见")</f>
        <v>7</v>
      </c>
      <c r="D25">
        <f>SUM(A25:C25)</f>
        <v>32</v>
      </c>
      <c r="E25">
        <f>COUNTIF(Sheet2!$V$2:$V$199,"未探索该事件")</f>
        <v>34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369DC-7C35-47E9-BEFF-ED1E4BBAE909}">
  <sheetPr codeName="Sheet4"/>
  <dimension ref="A1:E70"/>
  <sheetViews>
    <sheetView zoomScale="55" zoomScaleNormal="55" workbookViewId="0">
      <selection activeCell="M15" sqref="M15"/>
    </sheetView>
  </sheetViews>
  <sheetFormatPr defaultRowHeight="14.25" x14ac:dyDescent="0.2"/>
  <cols>
    <col min="1" max="1" width="12.875" bestFit="1" customWidth="1"/>
    <col min="2" max="2" width="23.125" bestFit="1" customWidth="1"/>
    <col min="3" max="3" width="33.5" bestFit="1" customWidth="1"/>
    <col min="4" max="4" width="33.125" bestFit="1" customWidth="1"/>
    <col min="5" max="5" width="34.25" bestFit="1" customWidth="1"/>
    <col min="6" max="26" width="15.5" bestFit="1" customWidth="1"/>
    <col min="27" max="35" width="14.375" bestFit="1" customWidth="1"/>
    <col min="36" max="56" width="15.5" bestFit="1" customWidth="1"/>
    <col min="57" max="65" width="14.375" bestFit="1" customWidth="1"/>
    <col min="66" max="66" width="15.5" bestFit="1" customWidth="1"/>
    <col min="67" max="67" width="5.75" bestFit="1" customWidth="1"/>
    <col min="68" max="68" width="5.25" bestFit="1" customWidth="1"/>
    <col min="69" max="69" width="4.5" bestFit="1" customWidth="1"/>
    <col min="70" max="74" width="4.25" bestFit="1" customWidth="1"/>
    <col min="75" max="75" width="4.5" bestFit="1" customWidth="1"/>
    <col min="76" max="76" width="4.25" bestFit="1" customWidth="1"/>
    <col min="77" max="77" width="5.25" bestFit="1" customWidth="1"/>
    <col min="78" max="78" width="4.25" bestFit="1" customWidth="1"/>
    <col min="79" max="79" width="4.5" bestFit="1" customWidth="1"/>
    <col min="80" max="80" width="5.25" bestFit="1" customWidth="1"/>
    <col min="81" max="82" width="4.25" bestFit="1" customWidth="1"/>
    <col min="83" max="83" width="4.5" bestFit="1" customWidth="1"/>
    <col min="84" max="86" width="4.25" bestFit="1" customWidth="1"/>
    <col min="87" max="87" width="4.5" bestFit="1" customWidth="1"/>
    <col min="88" max="92" width="4.25" bestFit="1" customWidth="1"/>
    <col min="93" max="102" width="5.25" bestFit="1" customWidth="1"/>
    <col min="103" max="103" width="17.375" bestFit="1" customWidth="1"/>
    <col min="104" max="104" width="31.75" bestFit="1" customWidth="1"/>
    <col min="105" max="105" width="5.25" bestFit="1" customWidth="1"/>
    <col min="106" max="106" width="4.25" bestFit="1" customWidth="1"/>
    <col min="107" max="110" width="5.25" bestFit="1" customWidth="1"/>
    <col min="111" max="111" width="4.5" bestFit="1" customWidth="1"/>
    <col min="112" max="113" width="4.25" bestFit="1" customWidth="1"/>
    <col min="114" max="115" width="5.25" bestFit="1" customWidth="1"/>
    <col min="116" max="116" width="5.625" bestFit="1" customWidth="1"/>
    <col min="117" max="120" width="5.25" bestFit="1" customWidth="1"/>
    <col min="121" max="122" width="4.25" bestFit="1" customWidth="1"/>
    <col min="123" max="125" width="5.25" bestFit="1" customWidth="1"/>
    <col min="126" max="126" width="4.5" bestFit="1" customWidth="1"/>
    <col min="127" max="133" width="5.25" bestFit="1" customWidth="1"/>
    <col min="134" max="134" width="4.5" bestFit="1" customWidth="1"/>
    <col min="135" max="138" width="5.25" bestFit="1" customWidth="1"/>
    <col min="139" max="140" width="4.25" bestFit="1" customWidth="1"/>
    <col min="141" max="143" width="5.25" bestFit="1" customWidth="1"/>
    <col min="144" max="144" width="4.5" bestFit="1" customWidth="1"/>
    <col min="145" max="145" width="5.25" bestFit="1" customWidth="1"/>
    <col min="146" max="146" width="4.5" bestFit="1" customWidth="1"/>
    <col min="147" max="148" width="5.25" bestFit="1" customWidth="1"/>
    <col min="149" max="149" width="4.5" bestFit="1" customWidth="1"/>
    <col min="150" max="153" width="5.25" bestFit="1" customWidth="1"/>
    <col min="154" max="154" width="17.375" bestFit="1" customWidth="1"/>
    <col min="155" max="155" width="22.125" bestFit="1" customWidth="1"/>
    <col min="156" max="166" width="5.25" bestFit="1" customWidth="1"/>
    <col min="167" max="167" width="5.625" bestFit="1" customWidth="1"/>
    <col min="168" max="204" width="5.25" bestFit="1" customWidth="1"/>
    <col min="205" max="205" width="17.375" bestFit="1" customWidth="1"/>
    <col min="206" max="206" width="36.875" bestFit="1" customWidth="1"/>
    <col min="207" max="207" width="35.875" bestFit="1" customWidth="1"/>
    <col min="208" max="208" width="36" bestFit="1" customWidth="1"/>
    <col min="209" max="209" width="26.375" bestFit="1" customWidth="1"/>
    <col min="210" max="211" width="5.25" bestFit="1" customWidth="1"/>
    <col min="212" max="212" width="5.625" bestFit="1" customWidth="1"/>
    <col min="213" max="215" width="5.25" bestFit="1" customWidth="1"/>
    <col min="216" max="216" width="5.625" bestFit="1" customWidth="1"/>
    <col min="217" max="228" width="5.25" bestFit="1" customWidth="1"/>
    <col min="229" max="229" width="5.625" bestFit="1" customWidth="1"/>
    <col min="230" max="238" width="5.25" bestFit="1" customWidth="1"/>
    <col min="239" max="239" width="5.625" bestFit="1" customWidth="1"/>
    <col min="240" max="250" width="5.25" bestFit="1" customWidth="1"/>
    <col min="251" max="251" width="5.625" bestFit="1" customWidth="1"/>
    <col min="252" max="260" width="5.25" bestFit="1" customWidth="1"/>
    <col min="261" max="261" width="17.375" bestFit="1" customWidth="1"/>
    <col min="262" max="262" width="36.875" bestFit="1" customWidth="1"/>
    <col min="263" max="263" width="35.875" bestFit="1" customWidth="1"/>
    <col min="264" max="264" width="36" bestFit="1" customWidth="1"/>
    <col min="265" max="265" width="26.375" bestFit="1" customWidth="1"/>
  </cols>
  <sheetData>
    <row r="1" spans="1:5" x14ac:dyDescent="0.2">
      <c r="A1" s="18" t="s">
        <v>130</v>
      </c>
      <c r="B1" t="s">
        <v>136</v>
      </c>
      <c r="C1" t="s">
        <v>135</v>
      </c>
      <c r="D1" t="s">
        <v>134</v>
      </c>
      <c r="E1" t="s">
        <v>133</v>
      </c>
    </row>
    <row r="2" spans="1:5" x14ac:dyDescent="0.2">
      <c r="A2" s="19" t="s">
        <v>151</v>
      </c>
      <c r="B2" s="13"/>
      <c r="C2" s="13"/>
      <c r="D2" s="13"/>
      <c r="E2" s="13"/>
    </row>
    <row r="3" spans="1:5" x14ac:dyDescent="0.2">
      <c r="A3" s="129" t="s">
        <v>45</v>
      </c>
      <c r="B3" s="13">
        <v>243</v>
      </c>
      <c r="C3" s="13">
        <v>180</v>
      </c>
      <c r="D3" s="13">
        <v>15</v>
      </c>
      <c r="E3" s="13">
        <v>48</v>
      </c>
    </row>
    <row r="4" spans="1:5" x14ac:dyDescent="0.2">
      <c r="A4" s="129" t="s">
        <v>68</v>
      </c>
      <c r="B4" s="13">
        <v>386</v>
      </c>
      <c r="C4" s="13">
        <v>200</v>
      </c>
      <c r="D4" s="13">
        <v>90</v>
      </c>
      <c r="E4" s="13">
        <v>96</v>
      </c>
    </row>
    <row r="5" spans="1:5" x14ac:dyDescent="0.2">
      <c r="A5" s="129" t="s">
        <v>55</v>
      </c>
      <c r="B5" s="13">
        <v>130</v>
      </c>
      <c r="C5" s="13">
        <v>40</v>
      </c>
      <c r="D5" s="13">
        <v>30</v>
      </c>
      <c r="E5" s="13">
        <v>60</v>
      </c>
    </row>
    <row r="6" spans="1:5" x14ac:dyDescent="0.2">
      <c r="A6" s="129" t="s">
        <v>131</v>
      </c>
      <c r="B6" s="13">
        <v>0</v>
      </c>
      <c r="C6" s="13">
        <v>0</v>
      </c>
      <c r="D6" s="13">
        <v>0</v>
      </c>
      <c r="E6" s="13">
        <v>0</v>
      </c>
    </row>
    <row r="7" spans="1:5" x14ac:dyDescent="0.2">
      <c r="A7" s="129" t="s">
        <v>53</v>
      </c>
      <c r="B7" s="13">
        <v>320</v>
      </c>
      <c r="C7" s="13">
        <v>140</v>
      </c>
      <c r="D7" s="13">
        <v>120</v>
      </c>
      <c r="E7" s="13">
        <v>60</v>
      </c>
    </row>
    <row r="8" spans="1:5" x14ac:dyDescent="0.2">
      <c r="A8" s="129" t="s">
        <v>46</v>
      </c>
      <c r="B8" s="13">
        <v>380</v>
      </c>
      <c r="C8" s="13">
        <v>200</v>
      </c>
      <c r="D8" s="13">
        <v>60</v>
      </c>
      <c r="E8" s="13">
        <v>120</v>
      </c>
    </row>
    <row r="9" spans="1:5" x14ac:dyDescent="0.2">
      <c r="A9" s="129" t="s">
        <v>56</v>
      </c>
      <c r="B9" s="13">
        <v>246</v>
      </c>
      <c r="C9" s="13">
        <v>60</v>
      </c>
      <c r="D9" s="13">
        <v>150</v>
      </c>
      <c r="E9" s="13">
        <v>36</v>
      </c>
    </row>
    <row r="10" spans="1:5" x14ac:dyDescent="0.2">
      <c r="A10" s="129" t="s">
        <v>64</v>
      </c>
      <c r="B10" s="13">
        <v>187</v>
      </c>
      <c r="C10" s="13">
        <v>40</v>
      </c>
      <c r="D10" s="13">
        <v>75</v>
      </c>
      <c r="E10" s="13">
        <v>72</v>
      </c>
    </row>
    <row r="11" spans="1:5" x14ac:dyDescent="0.2">
      <c r="A11" s="129" t="s">
        <v>57</v>
      </c>
      <c r="B11" s="13">
        <v>161</v>
      </c>
      <c r="C11" s="13">
        <v>20</v>
      </c>
      <c r="D11" s="13">
        <v>45</v>
      </c>
      <c r="E11" s="13">
        <v>96</v>
      </c>
    </row>
    <row r="12" spans="1:5" x14ac:dyDescent="0.2">
      <c r="A12" s="129" t="s">
        <v>60</v>
      </c>
      <c r="B12" s="13">
        <v>258</v>
      </c>
      <c r="C12" s="13">
        <v>120</v>
      </c>
      <c r="D12" s="13">
        <v>90</v>
      </c>
      <c r="E12" s="13">
        <v>48</v>
      </c>
    </row>
    <row r="13" spans="1:5" x14ac:dyDescent="0.2">
      <c r="A13" s="129" t="s">
        <v>59</v>
      </c>
      <c r="B13" s="13">
        <v>232</v>
      </c>
      <c r="C13" s="13">
        <v>160</v>
      </c>
      <c r="D13" s="13">
        <v>0</v>
      </c>
      <c r="E13" s="13">
        <v>72</v>
      </c>
    </row>
    <row r="14" spans="1:5" x14ac:dyDescent="0.2">
      <c r="A14" s="129" t="s">
        <v>65</v>
      </c>
      <c r="B14" s="13">
        <v>273</v>
      </c>
      <c r="C14" s="13">
        <v>60</v>
      </c>
      <c r="D14" s="13">
        <v>105</v>
      </c>
      <c r="E14" s="13">
        <v>108</v>
      </c>
    </row>
    <row r="15" spans="1:5" x14ac:dyDescent="0.2">
      <c r="A15" s="129" t="s">
        <v>52</v>
      </c>
      <c r="B15" s="13">
        <v>238</v>
      </c>
      <c r="C15" s="13">
        <v>100</v>
      </c>
      <c r="D15" s="13">
        <v>30</v>
      </c>
      <c r="E15" s="13">
        <v>108</v>
      </c>
    </row>
    <row r="16" spans="1:5" x14ac:dyDescent="0.2">
      <c r="A16" s="129" t="s">
        <v>61</v>
      </c>
      <c r="B16" s="13">
        <v>325</v>
      </c>
      <c r="C16" s="13">
        <v>160</v>
      </c>
      <c r="D16" s="13">
        <v>105</v>
      </c>
      <c r="E16" s="13">
        <v>60</v>
      </c>
    </row>
    <row r="17" spans="1:5" x14ac:dyDescent="0.2">
      <c r="A17" s="129" t="s">
        <v>51</v>
      </c>
      <c r="B17" s="13">
        <v>258</v>
      </c>
      <c r="C17" s="13">
        <v>180</v>
      </c>
      <c r="D17" s="13">
        <v>30</v>
      </c>
      <c r="E17" s="13">
        <v>48</v>
      </c>
    </row>
    <row r="18" spans="1:5" x14ac:dyDescent="0.2">
      <c r="A18" s="129" t="s">
        <v>50</v>
      </c>
      <c r="B18" s="13">
        <v>244</v>
      </c>
      <c r="C18" s="13">
        <v>100</v>
      </c>
      <c r="D18" s="13">
        <v>120</v>
      </c>
      <c r="E18" s="13">
        <v>24</v>
      </c>
    </row>
    <row r="19" spans="1:5" x14ac:dyDescent="0.2">
      <c r="A19" s="129" t="s">
        <v>58</v>
      </c>
      <c r="B19" s="13">
        <v>207</v>
      </c>
      <c r="C19" s="13">
        <v>180</v>
      </c>
      <c r="D19" s="13">
        <v>15</v>
      </c>
      <c r="E19" s="13">
        <v>12</v>
      </c>
    </row>
    <row r="20" spans="1:5" x14ac:dyDescent="0.2">
      <c r="A20" s="129" t="s">
        <v>63</v>
      </c>
      <c r="B20" s="13">
        <v>322</v>
      </c>
      <c r="C20" s="13">
        <v>100</v>
      </c>
      <c r="D20" s="13">
        <v>150</v>
      </c>
      <c r="E20" s="13">
        <v>72</v>
      </c>
    </row>
    <row r="21" spans="1:5" x14ac:dyDescent="0.2">
      <c r="A21" s="129" t="s">
        <v>48</v>
      </c>
      <c r="B21" s="13">
        <v>119</v>
      </c>
      <c r="C21" s="13">
        <v>20</v>
      </c>
      <c r="D21" s="13">
        <v>15</v>
      </c>
      <c r="E21" s="13">
        <v>84</v>
      </c>
    </row>
    <row r="22" spans="1:5" x14ac:dyDescent="0.2">
      <c r="A22" s="129" t="s">
        <v>67</v>
      </c>
      <c r="B22" s="13">
        <v>323</v>
      </c>
      <c r="C22" s="13">
        <v>140</v>
      </c>
      <c r="D22" s="13">
        <v>75</v>
      </c>
      <c r="E22" s="13">
        <v>108</v>
      </c>
    </row>
    <row r="23" spans="1:5" x14ac:dyDescent="0.2">
      <c r="A23" s="129" t="s">
        <v>66</v>
      </c>
      <c r="B23" s="13">
        <v>289</v>
      </c>
      <c r="C23" s="13">
        <v>160</v>
      </c>
      <c r="D23" s="13">
        <v>45</v>
      </c>
      <c r="E23" s="13">
        <v>84</v>
      </c>
    </row>
    <row r="24" spans="1:5" x14ac:dyDescent="0.2">
      <c r="A24" s="129" t="s">
        <v>62</v>
      </c>
      <c r="B24" s="13">
        <v>346</v>
      </c>
      <c r="C24" s="13">
        <v>100</v>
      </c>
      <c r="D24" s="13">
        <v>150</v>
      </c>
      <c r="E24" s="13">
        <v>96</v>
      </c>
    </row>
    <row r="25" spans="1:5" x14ac:dyDescent="0.2">
      <c r="A25" s="129" t="s">
        <v>47</v>
      </c>
      <c r="B25" s="13">
        <v>115</v>
      </c>
      <c r="C25" s="13">
        <v>40</v>
      </c>
      <c r="D25" s="13">
        <v>15</v>
      </c>
      <c r="E25" s="13">
        <v>60</v>
      </c>
    </row>
    <row r="26" spans="1:5" x14ac:dyDescent="0.2">
      <c r="A26" s="129" t="s">
        <v>54</v>
      </c>
      <c r="B26" s="13">
        <v>346</v>
      </c>
      <c r="C26" s="13">
        <v>160</v>
      </c>
      <c r="D26" s="13">
        <v>90</v>
      </c>
      <c r="E26" s="13">
        <v>96</v>
      </c>
    </row>
    <row r="27" spans="1:5" x14ac:dyDescent="0.2">
      <c r="A27" s="129" t="s">
        <v>49</v>
      </c>
      <c r="B27" s="13">
        <v>264</v>
      </c>
      <c r="C27" s="13">
        <v>60</v>
      </c>
      <c r="D27" s="13">
        <v>120</v>
      </c>
      <c r="E27" s="13">
        <v>84</v>
      </c>
    </row>
    <row r="28" spans="1:5" x14ac:dyDescent="0.2">
      <c r="A28" s="19" t="s">
        <v>153</v>
      </c>
      <c r="B28" s="13"/>
      <c r="C28" s="13"/>
      <c r="D28" s="13"/>
      <c r="E28" s="13"/>
    </row>
    <row r="29" spans="1:5" x14ac:dyDescent="0.2">
      <c r="A29" s="129" t="s">
        <v>69</v>
      </c>
      <c r="B29" s="13">
        <v>178</v>
      </c>
      <c r="C29" s="13">
        <v>40</v>
      </c>
      <c r="D29" s="13">
        <v>90</v>
      </c>
      <c r="E29" s="13">
        <v>48</v>
      </c>
    </row>
    <row r="30" spans="1:5" x14ac:dyDescent="0.2">
      <c r="A30" s="129" t="s">
        <v>97</v>
      </c>
      <c r="B30" s="13">
        <v>192</v>
      </c>
      <c r="C30" s="13">
        <v>60</v>
      </c>
      <c r="D30" s="13">
        <v>60</v>
      </c>
      <c r="E30" s="13">
        <v>72</v>
      </c>
    </row>
    <row r="31" spans="1:5" x14ac:dyDescent="0.2">
      <c r="A31" s="129" t="s">
        <v>70</v>
      </c>
      <c r="B31" s="13">
        <v>271</v>
      </c>
      <c r="C31" s="13">
        <v>100</v>
      </c>
      <c r="D31" s="13">
        <v>135</v>
      </c>
      <c r="E31" s="13">
        <v>36</v>
      </c>
    </row>
    <row r="32" spans="1:5" x14ac:dyDescent="0.2">
      <c r="A32" s="129" t="s">
        <v>85</v>
      </c>
      <c r="B32" s="13">
        <v>274</v>
      </c>
      <c r="C32" s="13">
        <v>100</v>
      </c>
      <c r="D32" s="13">
        <v>90</v>
      </c>
      <c r="E32" s="13">
        <v>84</v>
      </c>
    </row>
    <row r="33" spans="1:5" x14ac:dyDescent="0.2">
      <c r="A33" s="129" t="s">
        <v>88</v>
      </c>
      <c r="B33" s="13">
        <v>395</v>
      </c>
      <c r="C33" s="13">
        <v>140</v>
      </c>
      <c r="D33" s="13">
        <v>135</v>
      </c>
      <c r="E33" s="13">
        <v>120</v>
      </c>
    </row>
    <row r="34" spans="1:5" x14ac:dyDescent="0.2">
      <c r="A34" s="129" t="s">
        <v>74</v>
      </c>
      <c r="B34" s="13">
        <v>184</v>
      </c>
      <c r="C34" s="13">
        <v>160</v>
      </c>
      <c r="D34" s="13">
        <v>0</v>
      </c>
      <c r="E34" s="13">
        <v>24</v>
      </c>
    </row>
    <row r="35" spans="1:5" x14ac:dyDescent="0.2">
      <c r="A35" s="129" t="s">
        <v>98</v>
      </c>
      <c r="B35" s="13">
        <v>143</v>
      </c>
      <c r="C35" s="13">
        <v>80</v>
      </c>
      <c r="D35" s="13">
        <v>15</v>
      </c>
      <c r="E35" s="13">
        <v>48</v>
      </c>
    </row>
    <row r="36" spans="1:5" x14ac:dyDescent="0.2">
      <c r="A36" s="129" t="s">
        <v>96</v>
      </c>
      <c r="B36" s="13">
        <v>274</v>
      </c>
      <c r="C36" s="13">
        <v>100</v>
      </c>
      <c r="D36" s="13">
        <v>150</v>
      </c>
      <c r="E36" s="13">
        <v>24</v>
      </c>
    </row>
    <row r="37" spans="1:5" x14ac:dyDescent="0.2">
      <c r="A37" s="129" t="s">
        <v>91</v>
      </c>
      <c r="B37" s="13">
        <v>233</v>
      </c>
      <c r="C37" s="13">
        <v>140</v>
      </c>
      <c r="D37" s="13">
        <v>45</v>
      </c>
      <c r="E37" s="13">
        <v>48</v>
      </c>
    </row>
    <row r="38" spans="1:5" x14ac:dyDescent="0.2">
      <c r="A38" s="129" t="s">
        <v>78</v>
      </c>
      <c r="B38" s="13">
        <v>269</v>
      </c>
      <c r="C38" s="13">
        <v>140</v>
      </c>
      <c r="D38" s="13">
        <v>45</v>
      </c>
      <c r="E38" s="13">
        <v>84</v>
      </c>
    </row>
    <row r="39" spans="1:5" x14ac:dyDescent="0.2">
      <c r="A39" s="129" t="s">
        <v>93</v>
      </c>
      <c r="B39" s="13">
        <v>248</v>
      </c>
      <c r="C39" s="13">
        <v>140</v>
      </c>
      <c r="D39" s="13">
        <v>0</v>
      </c>
      <c r="E39" s="13">
        <v>108</v>
      </c>
    </row>
    <row r="40" spans="1:5" x14ac:dyDescent="0.2">
      <c r="A40" s="129" t="s">
        <v>95</v>
      </c>
      <c r="B40" s="13">
        <v>263</v>
      </c>
      <c r="C40" s="13">
        <v>140</v>
      </c>
      <c r="D40" s="13">
        <v>15</v>
      </c>
      <c r="E40" s="13">
        <v>108</v>
      </c>
    </row>
    <row r="41" spans="1:5" x14ac:dyDescent="0.2">
      <c r="A41" s="129" t="s">
        <v>76</v>
      </c>
      <c r="B41" s="13">
        <v>230</v>
      </c>
      <c r="C41" s="13">
        <v>80</v>
      </c>
      <c r="D41" s="13">
        <v>90</v>
      </c>
      <c r="E41" s="13">
        <v>60</v>
      </c>
    </row>
    <row r="42" spans="1:5" x14ac:dyDescent="0.2">
      <c r="A42" s="129" t="s">
        <v>71</v>
      </c>
      <c r="B42" s="13">
        <v>264</v>
      </c>
      <c r="C42" s="13">
        <v>180</v>
      </c>
      <c r="D42" s="13">
        <v>0</v>
      </c>
      <c r="E42" s="13">
        <v>84</v>
      </c>
    </row>
    <row r="43" spans="1:5" x14ac:dyDescent="0.2">
      <c r="A43" s="129" t="s">
        <v>83</v>
      </c>
      <c r="B43" s="13">
        <v>291</v>
      </c>
      <c r="C43" s="13">
        <v>180</v>
      </c>
      <c r="D43" s="13">
        <v>75</v>
      </c>
      <c r="E43" s="13">
        <v>36</v>
      </c>
    </row>
    <row r="44" spans="1:5" x14ac:dyDescent="0.2">
      <c r="A44" s="129" t="s">
        <v>89</v>
      </c>
      <c r="B44" s="13">
        <v>146</v>
      </c>
      <c r="C44" s="13">
        <v>80</v>
      </c>
      <c r="D44" s="13">
        <v>30</v>
      </c>
      <c r="E44" s="13">
        <v>36</v>
      </c>
    </row>
    <row r="45" spans="1:5" x14ac:dyDescent="0.2">
      <c r="A45" s="129" t="s">
        <v>73</v>
      </c>
      <c r="B45" s="13">
        <v>277</v>
      </c>
      <c r="C45" s="13">
        <v>160</v>
      </c>
      <c r="D45" s="13">
        <v>105</v>
      </c>
      <c r="E45" s="13">
        <v>12</v>
      </c>
    </row>
    <row r="46" spans="1:5" x14ac:dyDescent="0.2">
      <c r="A46" s="129" t="s">
        <v>84</v>
      </c>
      <c r="B46" s="13">
        <v>197</v>
      </c>
      <c r="C46" s="13">
        <v>140</v>
      </c>
      <c r="D46" s="13">
        <v>45</v>
      </c>
      <c r="E46" s="13">
        <v>12</v>
      </c>
    </row>
    <row r="47" spans="1:5" x14ac:dyDescent="0.2">
      <c r="A47" s="129" t="s">
        <v>77</v>
      </c>
      <c r="B47" s="13">
        <v>295</v>
      </c>
      <c r="C47" s="13">
        <v>160</v>
      </c>
      <c r="D47" s="13">
        <v>135</v>
      </c>
      <c r="E47" s="13">
        <v>0</v>
      </c>
    </row>
    <row r="48" spans="1:5" x14ac:dyDescent="0.2">
      <c r="A48" s="129" t="s">
        <v>82</v>
      </c>
      <c r="B48" s="13">
        <v>244</v>
      </c>
      <c r="C48" s="13">
        <v>160</v>
      </c>
      <c r="D48" s="13">
        <v>60</v>
      </c>
      <c r="E48" s="13">
        <v>24</v>
      </c>
    </row>
    <row r="49" spans="1:5" x14ac:dyDescent="0.2">
      <c r="A49" s="129" t="s">
        <v>75</v>
      </c>
      <c r="B49" s="13">
        <v>450</v>
      </c>
      <c r="C49" s="13">
        <v>180</v>
      </c>
      <c r="D49" s="13">
        <v>150</v>
      </c>
      <c r="E49" s="13">
        <v>120</v>
      </c>
    </row>
    <row r="50" spans="1:5" x14ac:dyDescent="0.2">
      <c r="A50" s="129" t="s">
        <v>81</v>
      </c>
      <c r="B50" s="13">
        <v>286</v>
      </c>
      <c r="C50" s="13">
        <v>160</v>
      </c>
      <c r="D50" s="13">
        <v>30</v>
      </c>
      <c r="E50" s="13">
        <v>96</v>
      </c>
    </row>
    <row r="51" spans="1:5" x14ac:dyDescent="0.2">
      <c r="A51" s="129" t="s">
        <v>90</v>
      </c>
      <c r="B51" s="13">
        <v>124</v>
      </c>
      <c r="C51" s="13">
        <v>40</v>
      </c>
      <c r="D51" s="13">
        <v>0</v>
      </c>
      <c r="E51" s="13">
        <v>84</v>
      </c>
    </row>
    <row r="52" spans="1:5" x14ac:dyDescent="0.2">
      <c r="A52" s="129" t="s">
        <v>72</v>
      </c>
      <c r="B52" s="13">
        <v>177</v>
      </c>
      <c r="C52" s="13">
        <v>120</v>
      </c>
      <c r="D52" s="13">
        <v>45</v>
      </c>
      <c r="E52" s="13">
        <v>12</v>
      </c>
    </row>
    <row r="53" spans="1:5" x14ac:dyDescent="0.2">
      <c r="A53" s="129" t="s">
        <v>79</v>
      </c>
      <c r="B53" s="13">
        <v>290</v>
      </c>
      <c r="C53" s="13">
        <v>200</v>
      </c>
      <c r="D53" s="13">
        <v>30</v>
      </c>
      <c r="E53" s="13">
        <v>60</v>
      </c>
    </row>
    <row r="54" spans="1:5" x14ac:dyDescent="0.2">
      <c r="A54" s="129" t="s">
        <v>87</v>
      </c>
      <c r="B54" s="13">
        <v>225</v>
      </c>
      <c r="C54" s="13">
        <v>120</v>
      </c>
      <c r="D54" s="13">
        <v>45</v>
      </c>
      <c r="E54" s="13">
        <v>60</v>
      </c>
    </row>
    <row r="55" spans="1:5" x14ac:dyDescent="0.2">
      <c r="A55" s="129" t="s">
        <v>94</v>
      </c>
      <c r="B55" s="13">
        <v>279</v>
      </c>
      <c r="C55" s="13">
        <v>60</v>
      </c>
      <c r="D55" s="13">
        <v>135</v>
      </c>
      <c r="E55" s="13">
        <v>84</v>
      </c>
    </row>
    <row r="56" spans="1:5" x14ac:dyDescent="0.2">
      <c r="A56" s="129" t="s">
        <v>80</v>
      </c>
      <c r="B56" s="13">
        <v>120</v>
      </c>
      <c r="C56" s="13">
        <v>60</v>
      </c>
      <c r="D56" s="13">
        <v>60</v>
      </c>
      <c r="E56" s="13">
        <v>0</v>
      </c>
    </row>
    <row r="57" spans="1:5" x14ac:dyDescent="0.2">
      <c r="A57" s="129" t="s">
        <v>92</v>
      </c>
      <c r="B57" s="13">
        <v>282</v>
      </c>
      <c r="C57" s="13">
        <v>60</v>
      </c>
      <c r="D57" s="13">
        <v>150</v>
      </c>
      <c r="E57" s="13">
        <v>72</v>
      </c>
    </row>
    <row r="58" spans="1:5" x14ac:dyDescent="0.2">
      <c r="A58" s="129" t="s">
        <v>86</v>
      </c>
      <c r="B58" s="13">
        <v>120</v>
      </c>
      <c r="C58" s="13">
        <v>120</v>
      </c>
      <c r="D58" s="13">
        <v>0</v>
      </c>
      <c r="E58" s="13">
        <v>0</v>
      </c>
    </row>
    <row r="59" spans="1:5" x14ac:dyDescent="0.2">
      <c r="A59" s="19" t="s">
        <v>152</v>
      </c>
      <c r="B59" s="13"/>
      <c r="C59" s="13"/>
      <c r="D59" s="13"/>
      <c r="E59" s="13"/>
    </row>
    <row r="60" spans="1:5" x14ac:dyDescent="0.2">
      <c r="A60" s="129" t="s">
        <v>107</v>
      </c>
      <c r="B60" s="13">
        <v>212</v>
      </c>
      <c r="C60" s="13">
        <v>140</v>
      </c>
      <c r="D60" s="13">
        <v>0</v>
      </c>
      <c r="E60" s="13">
        <v>72</v>
      </c>
    </row>
    <row r="61" spans="1:5" x14ac:dyDescent="0.2">
      <c r="A61" s="129" t="s">
        <v>99</v>
      </c>
      <c r="B61" s="13">
        <v>20</v>
      </c>
      <c r="C61" s="13">
        <v>20</v>
      </c>
      <c r="D61" s="13">
        <v>0</v>
      </c>
      <c r="E61" s="13">
        <v>0</v>
      </c>
    </row>
    <row r="62" spans="1:5" x14ac:dyDescent="0.2">
      <c r="A62" s="129" t="s">
        <v>100</v>
      </c>
      <c r="B62" s="13">
        <v>195</v>
      </c>
      <c r="C62" s="13">
        <v>180</v>
      </c>
      <c r="D62" s="13">
        <v>15</v>
      </c>
      <c r="E62" s="13">
        <v>0</v>
      </c>
    </row>
    <row r="63" spans="1:5" x14ac:dyDescent="0.2">
      <c r="A63" s="129" t="s">
        <v>104</v>
      </c>
      <c r="B63" s="13">
        <v>192</v>
      </c>
      <c r="C63" s="13">
        <v>120</v>
      </c>
      <c r="D63" s="13">
        <v>0</v>
      </c>
      <c r="E63" s="13">
        <v>72</v>
      </c>
    </row>
    <row r="64" spans="1:5" x14ac:dyDescent="0.2">
      <c r="A64" s="129" t="s">
        <v>101</v>
      </c>
      <c r="B64" s="13">
        <v>320</v>
      </c>
      <c r="C64" s="13">
        <v>200</v>
      </c>
      <c r="D64" s="13">
        <v>0</v>
      </c>
      <c r="E64" s="13">
        <v>120</v>
      </c>
    </row>
    <row r="65" spans="1:5" x14ac:dyDescent="0.2">
      <c r="A65" s="129" t="s">
        <v>106</v>
      </c>
      <c r="B65" s="13">
        <v>340</v>
      </c>
      <c r="C65" s="13">
        <v>100</v>
      </c>
      <c r="D65" s="13">
        <v>120</v>
      </c>
      <c r="E65" s="13">
        <v>120</v>
      </c>
    </row>
    <row r="66" spans="1:5" x14ac:dyDescent="0.2">
      <c r="A66" s="129" t="s">
        <v>102</v>
      </c>
      <c r="B66" s="13">
        <v>291</v>
      </c>
      <c r="C66" s="13">
        <v>120</v>
      </c>
      <c r="D66" s="13">
        <v>135</v>
      </c>
      <c r="E66" s="13">
        <v>36</v>
      </c>
    </row>
    <row r="67" spans="1:5" x14ac:dyDescent="0.2">
      <c r="A67" s="129" t="s">
        <v>103</v>
      </c>
      <c r="B67" s="13">
        <v>288</v>
      </c>
      <c r="C67" s="13">
        <v>180</v>
      </c>
      <c r="D67" s="13">
        <v>60</v>
      </c>
      <c r="E67" s="13">
        <v>48</v>
      </c>
    </row>
    <row r="68" spans="1:5" x14ac:dyDescent="0.2">
      <c r="A68" s="129" t="s">
        <v>108</v>
      </c>
      <c r="B68" s="13">
        <v>259</v>
      </c>
      <c r="C68" s="13">
        <v>160</v>
      </c>
      <c r="D68" s="13">
        <v>75</v>
      </c>
      <c r="E68" s="13">
        <v>24</v>
      </c>
    </row>
    <row r="69" spans="1:5" x14ac:dyDescent="0.2">
      <c r="A69" s="129" t="s">
        <v>105</v>
      </c>
      <c r="B69" s="13">
        <v>370</v>
      </c>
      <c r="C69" s="13">
        <v>160</v>
      </c>
      <c r="D69" s="13">
        <v>150</v>
      </c>
      <c r="E69" s="13">
        <v>60</v>
      </c>
    </row>
    <row r="70" spans="1:5" x14ac:dyDescent="0.2">
      <c r="A70" s="19" t="s">
        <v>132</v>
      </c>
      <c r="B70" s="13">
        <v>15920</v>
      </c>
      <c r="C70" s="13">
        <v>7700</v>
      </c>
      <c r="D70" s="13">
        <v>4260</v>
      </c>
      <c r="E70" s="13">
        <v>3960</v>
      </c>
    </row>
  </sheetData>
  <phoneticPr fontId="1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86182</dc:creator>
  <cp:lastModifiedBy>86182</cp:lastModifiedBy>
  <dcterms:created xsi:type="dcterms:W3CDTF">2021-02-25T22:20:55Z</dcterms:created>
  <dcterms:modified xsi:type="dcterms:W3CDTF">2021-03-08T08:47:36Z</dcterms:modified>
</cp:coreProperties>
</file>